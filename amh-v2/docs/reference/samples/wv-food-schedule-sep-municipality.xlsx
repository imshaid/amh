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 ২য় (2)" sheetId="1" r:id="rId4"/>
    <sheet state="visible" name="Sept_Muni" sheetId="2" r:id="rId5"/>
    <sheet state="hidden" name="Sheet2" sheetId="3" r:id="rId6"/>
  </sheets>
  <externalReferences>
    <externalReference r:id="rId7"/>
  </externalReferences>
  <definedNames>
    <definedName name="FACI">#REF!</definedName>
    <definedName name="FAC">#REF!</definedName>
    <definedName name="FACT">#REF!</definedName>
    <definedName name="ID">#REF!</definedName>
    <definedName hidden="1" localSheetId="0" name="_xlnm._FilterDatabase">'Jan ২য় (2)'!$A$4:$T$41</definedName>
  </definedNames>
  <calcPr/>
</workbook>
</file>

<file path=xl/sharedStrings.xml><?xml version="1.0" encoding="utf-8"?>
<sst xmlns="http://schemas.openxmlformats.org/spreadsheetml/2006/main" count="509" uniqueCount="159">
  <si>
    <t>World Vision Bangladesh</t>
  </si>
  <si>
    <t>Thakurgaon AP</t>
  </si>
  <si>
    <t>Food Schedule, Jan 2024 (FY- 24)</t>
  </si>
  <si>
    <t>Date</t>
  </si>
  <si>
    <t>Code</t>
  </si>
  <si>
    <t>Name of Activities</t>
  </si>
  <si>
    <t>Snack 17</t>
  </si>
  <si>
    <t>Snack 41</t>
  </si>
  <si>
    <t>Snakc 50</t>
  </si>
  <si>
    <t>Snack 57</t>
  </si>
  <si>
    <t>Snakc 65</t>
  </si>
  <si>
    <t>Snack 77</t>
  </si>
  <si>
    <t>Lunch-180</t>
  </si>
  <si>
    <t>Lunch-210</t>
  </si>
  <si>
    <t>Lunch-215</t>
  </si>
  <si>
    <t>Lunch-290</t>
  </si>
  <si>
    <t>Lunch-320</t>
  </si>
  <si>
    <t>Lunch-385</t>
  </si>
  <si>
    <t>Venue</t>
  </si>
  <si>
    <t xml:space="preserve">Union </t>
  </si>
  <si>
    <t>Time</t>
  </si>
  <si>
    <t>Facilitators Name</t>
  </si>
  <si>
    <t>Mobile No</t>
  </si>
  <si>
    <t>72.01.04</t>
  </si>
  <si>
    <t>Organize Confidence Building Session</t>
  </si>
  <si>
    <t>Purbo Nargun</t>
  </si>
  <si>
    <t>Nargun</t>
  </si>
  <si>
    <t>Munni Akter</t>
  </si>
  <si>
    <t>Kohopara</t>
  </si>
  <si>
    <t>Deb Dulal Sarkar</t>
  </si>
  <si>
    <t>Pokati</t>
  </si>
  <si>
    <t>Kismodoultopur</t>
  </si>
  <si>
    <t>60.02.04</t>
  </si>
  <si>
    <t>Arrgane ToR Singin Ceremony</t>
  </si>
  <si>
    <t xml:space="preserve">Josada Rani Roy </t>
  </si>
  <si>
    <t>Sreekrisnopur</t>
  </si>
  <si>
    <t>Shova Rani</t>
  </si>
  <si>
    <t>Uttorbochapukur</t>
  </si>
  <si>
    <t>Most.Mousumi Akter</t>
  </si>
  <si>
    <t>Afrin Aktar</t>
  </si>
  <si>
    <t>Sonamuni</t>
  </si>
  <si>
    <t>Pervin Akter</t>
  </si>
  <si>
    <t>62.02.08</t>
  </si>
  <si>
    <t>Organize Uthan Baitok</t>
  </si>
  <si>
    <t>Mahat School</t>
  </si>
  <si>
    <t>Md.Raju Islam</t>
  </si>
  <si>
    <t>86.01.02</t>
  </si>
  <si>
    <t>Orient Parens communities children on sponsorship</t>
  </si>
  <si>
    <t>Moyna Dipika Tudu</t>
  </si>
  <si>
    <t>86.02.07</t>
  </si>
  <si>
    <t>Conduct meeting and share sponsorship reports</t>
  </si>
  <si>
    <t>Paschim Nargun</t>
  </si>
  <si>
    <t>Prashant Sarkar</t>
  </si>
  <si>
    <t>74.03.01</t>
  </si>
  <si>
    <t>Parents awarness workshop on Nutrition Education</t>
  </si>
  <si>
    <t>Federation</t>
  </si>
  <si>
    <t>Sree Sumon Chandra Roy</t>
  </si>
  <si>
    <t>74.03.03</t>
  </si>
  <si>
    <t>Condcut awarness session on Violance against Women</t>
  </si>
  <si>
    <t>Dokkinbochapukur</t>
  </si>
  <si>
    <t>73.02.09</t>
  </si>
  <si>
    <t>Conduct meeting with producer group</t>
  </si>
  <si>
    <t>Gobindanagor</t>
  </si>
  <si>
    <t>Ratna Rani</t>
  </si>
  <si>
    <t>85.03.19</t>
  </si>
  <si>
    <t>Conduct meeting with ECO Villagers</t>
  </si>
  <si>
    <t>Total</t>
  </si>
  <si>
    <t>SL #</t>
  </si>
  <si>
    <t>Food Item</t>
  </si>
  <si>
    <t>Qty.</t>
  </si>
  <si>
    <t>Rate of item</t>
  </si>
  <si>
    <t>Total Tk.</t>
  </si>
  <si>
    <t>Food Schedule, Sept, Adorsho Munsi Hotel</t>
  </si>
  <si>
    <t>Biscuit 20</t>
  </si>
  <si>
    <t>Snack 55</t>
  </si>
  <si>
    <t>Snakc 160</t>
  </si>
  <si>
    <t>Snack 
50</t>
  </si>
  <si>
    <t>Snakc 
85</t>
  </si>
  <si>
    <t>B. Snacks 3
100</t>
  </si>
  <si>
    <t>Lunch-375</t>
  </si>
  <si>
    <t>Lunch-
430</t>
  </si>
  <si>
    <t>সকাল</t>
  </si>
  <si>
    <t>বিকাল</t>
  </si>
  <si>
    <t>131.01.04</t>
  </si>
  <si>
    <t>Reading Camp Session</t>
  </si>
  <si>
    <t>Gobindanagar</t>
  </si>
  <si>
    <t>Municipality</t>
  </si>
  <si>
    <t>Najira</t>
  </si>
  <si>
    <t>01300103389</t>
  </si>
  <si>
    <t>Gobindanagar-2</t>
  </si>
  <si>
    <t>Swapna</t>
  </si>
  <si>
    <t>01908357309</t>
  </si>
  <si>
    <t>Collegepara Paschim</t>
  </si>
  <si>
    <t>Morjina</t>
  </si>
  <si>
    <t>01314613497</t>
  </si>
  <si>
    <t>Munsipara LR</t>
  </si>
  <si>
    <t>Sanjida</t>
  </si>
  <si>
    <t>01308163491</t>
  </si>
  <si>
    <t>Darapara LR</t>
  </si>
  <si>
    <t>Tamima</t>
  </si>
  <si>
    <t>01763828765</t>
  </si>
  <si>
    <t>Nischintapur</t>
  </si>
  <si>
    <t>Mukta</t>
  </si>
  <si>
    <t>01736262593</t>
  </si>
  <si>
    <t>131.01.06</t>
  </si>
  <si>
    <t>Parents Awarness Session</t>
  </si>
  <si>
    <t>131.01.12</t>
  </si>
  <si>
    <t>Community Led Day Observation</t>
  </si>
  <si>
    <t>Asha, Pritom</t>
  </si>
  <si>
    <t>Darapara</t>
  </si>
  <si>
    <t>Munsipara</t>
  </si>
  <si>
    <t>132.01.08</t>
  </si>
  <si>
    <t>Conduct Impact Plus Session</t>
  </si>
  <si>
    <t>Gobindanagar LR Center</t>
  </si>
  <si>
    <t>Asha/Pritom??</t>
  </si>
  <si>
    <t xml:space="preserve">
Asha- 01765598550</t>
  </si>
  <si>
    <t>Collegepara-Paschim</t>
  </si>
  <si>
    <t>Aklima</t>
  </si>
  <si>
    <t>Laboni</t>
  </si>
  <si>
    <t>Darapra</t>
  </si>
  <si>
    <t>Ulfatun Mitul</t>
  </si>
  <si>
    <t>Collegepara Purbo</t>
  </si>
  <si>
    <t>Purbo Goalpara</t>
  </si>
  <si>
    <t>Islambag</t>
  </si>
  <si>
    <t>Khalpara</t>
  </si>
  <si>
    <t>Nishintapur LR</t>
  </si>
  <si>
    <t>13/9/26</t>
  </si>
  <si>
    <t>132.01.12</t>
  </si>
  <si>
    <t>Impact Plus Children Gathering</t>
  </si>
  <si>
    <t>Mother Teresa School???</t>
  </si>
  <si>
    <t>14/9/26</t>
  </si>
  <si>
    <t>140.01.07</t>
  </si>
  <si>
    <t>Monitor and Evaluate CP system</t>
  </si>
  <si>
    <t>Tinni, Kader</t>
  </si>
  <si>
    <t>141.05.10</t>
  </si>
  <si>
    <t>Meeting with Faith Leaders</t>
  </si>
  <si>
    <t>143.01.02</t>
  </si>
  <si>
    <t>Orientation on online safety</t>
  </si>
  <si>
    <t>CM Ayub</t>
  </si>
  <si>
    <t>143.01.15</t>
  </si>
  <si>
    <t>Youth Forum Meeting</t>
  </si>
  <si>
    <t>Pinki-Anik</t>
  </si>
  <si>
    <t>143.03.13</t>
  </si>
  <si>
    <t>Monitoring Maturing and Functionality of CBO</t>
  </si>
  <si>
    <t>Bishal</t>
  </si>
  <si>
    <t>Jagannathpur</t>
  </si>
  <si>
    <t>Ashram Para</t>
  </si>
  <si>
    <t>143.03.08</t>
  </si>
  <si>
    <t>Organize Partner Assesment</t>
  </si>
  <si>
    <t>Pinky</t>
  </si>
  <si>
    <t>Anik</t>
  </si>
  <si>
    <t>Shirin</t>
  </si>
  <si>
    <t>01794902171</t>
  </si>
  <si>
    <t>Ambia</t>
  </si>
  <si>
    <t>01744805847</t>
  </si>
  <si>
    <t>Shefali</t>
  </si>
  <si>
    <t>01758525017</t>
  </si>
  <si>
    <t>Tinni</t>
  </si>
  <si>
    <t>Akash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</si>
</sst>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h:mm\ AM/PM"/>
  </numFmts>
  <fonts count="18">
    <font>
      <sz val="11.0"/>
      <color/>
      <name val="Arial"/>
      <scheme val="minor"/>
    </font>
    <font>
      <sz val="12.0"/>
      <name val="Calibri"/>
    </font>
    <font>
      <sz val="11.0"/>
      <name val="Calibri"/>
    </font>
    <font>
      <sz val="9.0"/>
      <name val="Calibri"/>
    </font>
    <font>
      <sz val="8.0"/>
      <name val="Calibri"/>
    </font>
    <font>
      <b/>
      <sz val="8.0"/>
      <name val="Calibri"/>
    </font>
    <font>
      <b/>
      <sz val="11.0"/>
      <name val="Calibri"/>
    </font>
    <font>
      <sz val="10.0"/>
      <name val="Calibri"/>
    </font>
    <font>
      <b/>
      <sz val="9.0"/>
      <name val="Calibri"/>
    </font>
    <font>
      <b/>
      <sz val="10.0"/>
      <name val="Calibri"/>
    </font>
    <font/>
    <font>
      <i/>
      <sz val="8.0"/>
      <name val="Calibri"/>
    </font>
    <font>
      <sz val="11.0"/>
      <color/>
      <name val="Calibri"/>
    </font>
    <font>
      <b/>
      <sz val="8.0"/>
      <color/>
      <name val="Calibri"/>
    </font>
    <font>
      <b/>
      <sz val="11.0"/>
      <color/>
      <name val="Calibri"/>
    </font>
    <font>
      <b/>
      <sz val="9.0"/>
      <color/>
      <name val="Calibri"/>
    </font>
    <font>
      <b/>
      <sz val="10.0"/>
      <color/>
      <name val="Calibri"/>
    </font>
    <font>
      <sz val="9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center"/>
    </xf>
    <xf borderId="1" fillId="0" fontId="4" numFmtId="14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2" fontId="4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vertical="top"/>
    </xf>
    <xf borderId="1" fillId="0" fontId="4" numFmtId="0" xfId="0" applyBorder="1" applyFont="1"/>
    <xf borderId="1" fillId="0" fontId="4" numFmtId="49" xfId="0" applyBorder="1" applyFont="1" applyNumberFormat="1"/>
    <xf borderId="2" fillId="0" fontId="3" numFmtId="14" xfId="0" applyAlignment="1" applyBorder="1" applyFont="1" applyNumberFormat="1">
      <alignment vertical="center"/>
    </xf>
    <xf borderId="0" fillId="0" fontId="3" numFmtId="14" xfId="0" applyAlignment="1" applyFont="1" applyNumberFormat="1">
      <alignment vertical="center"/>
    </xf>
    <xf borderId="0" fillId="0" fontId="3" numFmtId="0" xfId="0" applyAlignment="1" applyFont="1">
      <alignment horizontal="left" vertical="top"/>
    </xf>
    <xf borderId="0" fillId="0" fontId="2" numFmtId="0" xfId="0" applyFont="1"/>
    <xf borderId="0" fillId="0" fontId="2" numFmtId="49" xfId="0" applyFont="1" applyNumberFormat="1"/>
    <xf borderId="0" fillId="0" fontId="6" numFmtId="0" xfId="0" applyAlignment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0" fontId="8" numFmtId="2" xfId="0" applyBorder="1" applyFont="1" applyNumberFormat="1"/>
    <xf borderId="0" fillId="0" fontId="2" numFmtId="2" xfId="0" applyFont="1" applyNumberFormat="1"/>
    <xf borderId="1" fillId="0" fontId="9" numFmtId="0" xfId="0" applyAlignment="1" applyBorder="1" applyFont="1">
      <alignment horizontal="center"/>
    </xf>
    <xf borderId="1" fillId="0" fontId="6" numFmtId="0" xfId="0" applyBorder="1" applyFont="1"/>
    <xf borderId="1" fillId="0" fontId="9" numFmtId="0" xfId="0" applyBorder="1" applyFont="1"/>
    <xf borderId="1" fillId="0" fontId="9" numFmtId="1" xfId="0" applyAlignment="1" applyBorder="1" applyFont="1" applyNumberFormat="1">
      <alignment horizontal="center"/>
    </xf>
    <xf borderId="0" fillId="0" fontId="6" numFmtId="2" xfId="0" applyFont="1" applyNumberFormat="1"/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4" numFmtId="14" xfId="0" applyAlignment="1" applyBorder="1" applyFont="1" applyNumberFormat="1">
      <alignment horizontal="center" vertical="top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vertical="top"/>
    </xf>
    <xf borderId="1" fillId="0" fontId="7" numFmtId="20" xfId="0" applyAlignment="1" applyBorder="1" applyFont="1" applyNumberFormat="1">
      <alignment horizontal="center" vertical="top"/>
    </xf>
    <xf borderId="3" fillId="0" fontId="7" numFmtId="49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1" fillId="0" fontId="7" numFmtId="14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20" xfId="0" applyAlignment="1" applyBorder="1" applyFont="1" applyNumberFormat="1">
      <alignment horizontal="center" vertical="center"/>
    </xf>
    <xf quotePrefix="1" borderId="3" fillId="0" fontId="7" numFmtId="0" xfId="0" applyAlignment="1" applyBorder="1" applyFont="1">
      <alignment horizontal="center" shrinkToFit="0" vertical="center" wrapText="1"/>
    </xf>
    <xf borderId="2" fillId="0" fontId="10" numFmtId="0" xfId="0" applyBorder="1" applyFont="1"/>
    <xf borderId="4" fillId="0" fontId="10" numFmtId="0" xfId="0" applyBorder="1" applyFont="1"/>
    <xf borderId="1" fillId="0" fontId="4" numFmtId="14" xfId="0" applyAlignment="1" applyBorder="1" applyFont="1" applyNumberFormat="1">
      <alignment horizontal="left" vertical="top"/>
    </xf>
    <xf borderId="1" fillId="0" fontId="11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vertical="top"/>
    </xf>
    <xf borderId="1" fillId="0" fontId="3" numFmtId="20" xfId="0" applyAlignment="1" applyBorder="1" applyFont="1" applyNumberFormat="1">
      <alignment horizontal="center" vertical="top"/>
    </xf>
    <xf borderId="4" fillId="0" fontId="4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4" numFmtId="14" xfId="0" applyAlignment="1" applyBorder="1" applyFont="1" applyNumberFormat="1">
      <alignment horizontal="left" vertical="center"/>
    </xf>
    <xf borderId="0" fillId="0" fontId="3" numFmtId="14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12" numFmtId="0" xfId="0" applyFont="1"/>
    <xf borderId="0" fillId="0" fontId="12" numFmtId="0" xfId="0" applyAlignment="1" applyFont="1">
      <alignment horizontal="left" vertical="center"/>
    </xf>
    <xf borderId="1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2" numFmtId="49" xfId="0" applyFont="1" applyNumberFormat="1"/>
    <xf borderId="1" fillId="0" fontId="15" numFmtId="2" xfId="0" applyBorder="1" applyFont="1" applyNumberFormat="1"/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Border="1" applyFont="1"/>
    <xf borderId="1" fillId="0" fontId="14" numFmtId="0" xfId="0" applyBorder="1" applyFont="1"/>
    <xf borderId="1" fillId="0" fontId="12" numFmtId="0" xfId="0" applyAlignment="1" applyBorder="1" applyFont="1">
      <alignment horizontal="center"/>
    </xf>
    <xf borderId="0" fillId="0" fontId="12" numFmtId="2" xfId="0" applyFont="1" applyNumberFormat="1"/>
    <xf borderId="1" fillId="0" fontId="14" numFmtId="0" xfId="0" applyAlignment="1" applyBorder="1" applyFont="1">
      <alignment horizontal="center"/>
    </xf>
    <xf borderId="1" fillId="0" fontId="16" numFmtId="2" xfId="0" applyAlignment="1" applyBorder="1" applyFont="1" applyNumberFormat="1">
      <alignment horizontal="center"/>
    </xf>
    <xf borderId="0" fillId="0" fontId="14" numFmtId="2" xfId="0" applyFont="1" applyNumberFormat="1"/>
    <xf borderId="0" fillId="0" fontId="12" numFmtId="0" xfId="0" applyFont="1"/>
    <xf borderId="0" fillId="0" fontId="12" numFmtId="0" xfId="0" applyAlignment="1" applyFont="1">
      <alignment horizontal="left" vertical="center"/>
    </xf>
    <xf borderId="0" fillId="0" fontId="17" numFmtId="0" xfId="0" applyAlignment="1" applyFont="1">
      <alignment horizontal="left" shrinkToFit="0" vertical="center" wrapText="1"/>
    </xf>
    <xf borderId="5" fillId="0" fontId="12" numFmtId="0" xfId="0" applyBorder="1" applyFont="1"/>
    <xf borderId="5" fillId="0" fontId="12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3" fillId="0" fontId="3" numFmtId="49" xfId="0" applyAlignment="1" applyBorder="1" applyFont="1" applyNumberFormat="1">
      <alignment horizontal="center" vertical="center"/>
    </xf>
    <xf quotePrefix="1" borderId="3" fillId="0" fontId="3" numFmtId="49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23%20Information/Program%20Data/All%20Link%20Fil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me Page"/>
      <sheetName val="Entry PR"/>
      <sheetName val="PR"/>
      <sheetName val="Other Expense"/>
      <sheetName val="EER"/>
      <sheetName val="Working"/>
      <sheetName val="Budget"/>
      <sheetName val="Food Expense"/>
      <sheetName val="Other Expense (2)"/>
      <sheetName val="EE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2" width="8.14"/>
    <col customWidth="1" min="3" max="3" width="24.86"/>
    <col customWidth="1" min="4" max="4" width="5.86"/>
    <col customWidth="1" min="5" max="6" width="5.57"/>
    <col customWidth="1" min="7" max="7" width="4.86"/>
    <col customWidth="1" min="8" max="8" width="5.57"/>
    <col customWidth="1" min="9" max="9" width="5.43"/>
    <col customWidth="1" min="10" max="10" width="5.86"/>
    <col customWidth="1" min="11" max="11" width="6.57"/>
    <col customWidth="1" min="12" max="12" width="5.86"/>
    <col customWidth="1" min="13" max="13" width="6.57"/>
    <col customWidth="1" min="14" max="14" width="5.57"/>
    <col customWidth="1" min="15" max="15" width="7.86"/>
    <col customWidth="1" min="16" max="16" width="7.43"/>
    <col customWidth="1" min="17" max="17" width="8.86"/>
    <col customWidth="1" min="18" max="18" width="7.14"/>
    <col customWidth="1" min="19" max="19" width="8.86"/>
    <col customWidth="1" min="20" max="20" width="9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1" t="s">
        <v>2</v>
      </c>
    </row>
    <row r="4" ht="14.25" customHeight="1">
      <c r="A4" s="3" t="s">
        <v>3</v>
      </c>
      <c r="B4" s="3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7" t="s">
        <v>18</v>
      </c>
      <c r="Q4" s="7" t="s">
        <v>19</v>
      </c>
      <c r="R4" s="7" t="s">
        <v>20</v>
      </c>
      <c r="S4" s="8" t="s">
        <v>21</v>
      </c>
      <c r="T4" s="9" t="s">
        <v>22</v>
      </c>
    </row>
    <row r="5" ht="14.25" customHeight="1">
      <c r="A5" s="10">
        <v>45303.0</v>
      </c>
      <c r="B5" s="11" t="s">
        <v>23</v>
      </c>
      <c r="C5" s="12" t="s">
        <v>24</v>
      </c>
      <c r="D5" s="13"/>
      <c r="E5" s="14"/>
      <c r="F5" s="15">
        <v>34.0</v>
      </c>
      <c r="G5" s="14"/>
      <c r="H5" s="15"/>
      <c r="I5" s="14"/>
      <c r="J5" s="14"/>
      <c r="K5" s="14"/>
      <c r="L5" s="14"/>
      <c r="M5" s="14"/>
      <c r="N5" s="15"/>
      <c r="O5" s="14"/>
      <c r="P5" s="16" t="s">
        <v>25</v>
      </c>
      <c r="Q5" s="17" t="s">
        <v>26</v>
      </c>
      <c r="R5" s="18">
        <v>0.4166666666666667</v>
      </c>
      <c r="S5" s="16" t="s">
        <v>27</v>
      </c>
      <c r="T5" s="14" t="str">
        <f t="shared" ref="T5:T40" si="1">IF(ISNA(VLOOKUP(S5,FACT,2,0))," ",VLOOKUP(S5,FACT,2,0))</f>
        <v>#REF!</v>
      </c>
    </row>
    <row r="6" ht="14.25" customHeight="1">
      <c r="A6" s="10">
        <v>45303.0</v>
      </c>
      <c r="B6" s="11" t="s">
        <v>23</v>
      </c>
      <c r="C6" s="12" t="s">
        <v>24</v>
      </c>
      <c r="D6" s="13"/>
      <c r="E6" s="14"/>
      <c r="F6" s="15">
        <v>27.0</v>
      </c>
      <c r="G6" s="14"/>
      <c r="H6" s="15"/>
      <c r="I6" s="14"/>
      <c r="J6" s="14"/>
      <c r="K6" s="14"/>
      <c r="L6" s="14"/>
      <c r="M6" s="14"/>
      <c r="N6" s="15"/>
      <c r="O6" s="14"/>
      <c r="P6" s="16" t="s">
        <v>28</v>
      </c>
      <c r="Q6" s="17" t="s">
        <v>26</v>
      </c>
      <c r="R6" s="18">
        <v>0.4166666666666667</v>
      </c>
      <c r="S6" s="16" t="s">
        <v>29</v>
      </c>
      <c r="T6" s="14" t="str">
        <f t="shared" si="1"/>
        <v>#REF!</v>
      </c>
    </row>
    <row r="7" ht="14.25" customHeight="1">
      <c r="A7" s="10">
        <v>45303.0</v>
      </c>
      <c r="B7" s="11" t="s">
        <v>23</v>
      </c>
      <c r="C7" s="12" t="s">
        <v>24</v>
      </c>
      <c r="D7" s="13"/>
      <c r="E7" s="14"/>
      <c r="F7" s="15">
        <v>23.0</v>
      </c>
      <c r="G7" s="14"/>
      <c r="H7" s="15"/>
      <c r="I7" s="14"/>
      <c r="J7" s="14"/>
      <c r="K7" s="14"/>
      <c r="L7" s="14"/>
      <c r="M7" s="14"/>
      <c r="N7" s="15"/>
      <c r="O7" s="14"/>
      <c r="P7" s="16" t="s">
        <v>30</v>
      </c>
      <c r="Q7" s="17" t="s">
        <v>26</v>
      </c>
      <c r="R7" s="18">
        <v>0.625</v>
      </c>
      <c r="S7" s="16" t="s">
        <v>29</v>
      </c>
      <c r="T7" s="14" t="str">
        <f t="shared" si="1"/>
        <v>#REF!</v>
      </c>
    </row>
    <row r="8" ht="14.25" customHeight="1">
      <c r="A8" s="10">
        <v>45303.0</v>
      </c>
      <c r="B8" s="11" t="s">
        <v>23</v>
      </c>
      <c r="C8" s="12" t="s">
        <v>24</v>
      </c>
      <c r="D8" s="13"/>
      <c r="E8" s="14"/>
      <c r="F8" s="15">
        <v>24.0</v>
      </c>
      <c r="G8" s="14"/>
      <c r="H8" s="15"/>
      <c r="I8" s="14"/>
      <c r="J8" s="14"/>
      <c r="K8" s="14"/>
      <c r="L8" s="14"/>
      <c r="M8" s="14"/>
      <c r="N8" s="15"/>
      <c r="O8" s="14"/>
      <c r="P8" s="16" t="s">
        <v>31</v>
      </c>
      <c r="Q8" s="17" t="s">
        <v>26</v>
      </c>
      <c r="R8" s="18">
        <v>0.625</v>
      </c>
      <c r="S8" s="16" t="s">
        <v>27</v>
      </c>
      <c r="T8" s="14" t="str">
        <f t="shared" si="1"/>
        <v>#REF!</v>
      </c>
    </row>
    <row r="9" ht="14.25" customHeight="1">
      <c r="A9" s="10">
        <v>45304.0</v>
      </c>
      <c r="B9" s="11" t="s">
        <v>32</v>
      </c>
      <c r="C9" s="12" t="s">
        <v>33</v>
      </c>
      <c r="D9" s="13"/>
      <c r="E9" s="14">
        <v>7.0</v>
      </c>
      <c r="F9" s="14"/>
      <c r="G9" s="15"/>
      <c r="H9" s="14"/>
      <c r="I9" s="14"/>
      <c r="J9" s="14"/>
      <c r="K9" s="14"/>
      <c r="L9" s="14"/>
      <c r="M9" s="14"/>
      <c r="N9" s="15"/>
      <c r="O9" s="14"/>
      <c r="P9" s="16" t="s">
        <v>28</v>
      </c>
      <c r="Q9" s="17" t="s">
        <v>26</v>
      </c>
      <c r="R9" s="18">
        <v>0.4166666666666667</v>
      </c>
      <c r="S9" s="16" t="s">
        <v>34</v>
      </c>
      <c r="T9" s="14" t="str">
        <f t="shared" si="1"/>
        <v>#REF!</v>
      </c>
    </row>
    <row r="10" ht="14.25" customHeight="1">
      <c r="A10" s="10">
        <v>45304.0</v>
      </c>
      <c r="B10" s="11" t="s">
        <v>32</v>
      </c>
      <c r="C10" s="12" t="s">
        <v>33</v>
      </c>
      <c r="D10" s="13"/>
      <c r="E10" s="14">
        <v>7.0</v>
      </c>
      <c r="F10" s="14"/>
      <c r="G10" s="15"/>
      <c r="H10" s="14"/>
      <c r="I10" s="14"/>
      <c r="J10" s="14"/>
      <c r="K10" s="14"/>
      <c r="L10" s="14"/>
      <c r="M10" s="14"/>
      <c r="N10" s="15"/>
      <c r="O10" s="14"/>
      <c r="P10" s="16" t="s">
        <v>35</v>
      </c>
      <c r="Q10" s="17" t="s">
        <v>26</v>
      </c>
      <c r="R10" s="18">
        <v>0.4166666666666667</v>
      </c>
      <c r="S10" s="16" t="s">
        <v>36</v>
      </c>
      <c r="T10" s="14" t="str">
        <f t="shared" si="1"/>
        <v>#REF!</v>
      </c>
    </row>
    <row r="11" ht="14.25" customHeight="1">
      <c r="A11" s="10">
        <v>45304.0</v>
      </c>
      <c r="B11" s="11" t="s">
        <v>32</v>
      </c>
      <c r="C11" s="12" t="s">
        <v>33</v>
      </c>
      <c r="D11" s="13"/>
      <c r="E11" s="14">
        <v>7.0</v>
      </c>
      <c r="F11" s="14"/>
      <c r="G11" s="15"/>
      <c r="H11" s="14"/>
      <c r="I11" s="14"/>
      <c r="J11" s="14"/>
      <c r="K11" s="14"/>
      <c r="L11" s="14"/>
      <c r="M11" s="14"/>
      <c r="N11" s="15"/>
      <c r="O11" s="14"/>
      <c r="P11" s="16" t="s">
        <v>37</v>
      </c>
      <c r="Q11" s="17" t="s">
        <v>26</v>
      </c>
      <c r="R11" s="18">
        <v>0.4166666666666667</v>
      </c>
      <c r="S11" s="16" t="s">
        <v>38</v>
      </c>
      <c r="T11" s="14" t="str">
        <f t="shared" si="1"/>
        <v>#REF!</v>
      </c>
    </row>
    <row r="12" ht="14.25" customHeight="1">
      <c r="A12" s="10">
        <v>45304.0</v>
      </c>
      <c r="B12" s="11" t="s">
        <v>32</v>
      </c>
      <c r="C12" s="12" t="s">
        <v>33</v>
      </c>
      <c r="D12" s="13"/>
      <c r="E12" s="15">
        <v>7.0</v>
      </c>
      <c r="F12" s="14"/>
      <c r="G12" s="14"/>
      <c r="H12" s="14"/>
      <c r="I12" s="14"/>
      <c r="J12" s="14"/>
      <c r="K12" s="14"/>
      <c r="L12" s="14"/>
      <c r="M12" s="14"/>
      <c r="N12" s="15"/>
      <c r="O12" s="14"/>
      <c r="P12" s="16" t="s">
        <v>26</v>
      </c>
      <c r="Q12" s="17" t="s">
        <v>26</v>
      </c>
      <c r="R12" s="18">
        <v>0.4166666666666667</v>
      </c>
      <c r="S12" s="16" t="s">
        <v>39</v>
      </c>
      <c r="T12" s="14" t="str">
        <f t="shared" si="1"/>
        <v>#REF!</v>
      </c>
    </row>
    <row r="13" ht="14.25" customHeight="1">
      <c r="A13" s="10">
        <v>45304.0</v>
      </c>
      <c r="B13" s="11" t="s">
        <v>32</v>
      </c>
      <c r="C13" s="12" t="s">
        <v>33</v>
      </c>
      <c r="D13" s="13"/>
      <c r="E13" s="15">
        <v>7.0</v>
      </c>
      <c r="F13" s="14"/>
      <c r="G13" s="14"/>
      <c r="H13" s="14"/>
      <c r="I13" s="14"/>
      <c r="J13" s="14"/>
      <c r="K13" s="14"/>
      <c r="L13" s="14"/>
      <c r="M13" s="14"/>
      <c r="N13" s="15"/>
      <c r="O13" s="14"/>
      <c r="P13" s="16" t="s">
        <v>31</v>
      </c>
      <c r="Q13" s="17" t="s">
        <v>26</v>
      </c>
      <c r="R13" s="18">
        <v>0.4166666666666667</v>
      </c>
      <c r="S13" s="16" t="s">
        <v>40</v>
      </c>
      <c r="T13" s="14" t="str">
        <f t="shared" si="1"/>
        <v>#REF!</v>
      </c>
    </row>
    <row r="14" ht="14.25" customHeight="1">
      <c r="A14" s="10">
        <v>45304.0</v>
      </c>
      <c r="B14" s="11" t="s">
        <v>32</v>
      </c>
      <c r="C14" s="12" t="s">
        <v>33</v>
      </c>
      <c r="D14" s="13"/>
      <c r="E14" s="14">
        <v>7.0</v>
      </c>
      <c r="F14" s="14"/>
      <c r="G14" s="14"/>
      <c r="H14" s="15"/>
      <c r="I14" s="14"/>
      <c r="J14" s="14"/>
      <c r="K14" s="14"/>
      <c r="L14" s="14"/>
      <c r="M14" s="14"/>
      <c r="N14" s="15"/>
      <c r="O14" s="14"/>
      <c r="P14" s="16" t="s">
        <v>25</v>
      </c>
      <c r="Q14" s="17" t="s">
        <v>26</v>
      </c>
      <c r="R14" s="18">
        <v>0.4166666666666667</v>
      </c>
      <c r="S14" s="16" t="s">
        <v>41</v>
      </c>
      <c r="T14" s="14" t="str">
        <f t="shared" si="1"/>
        <v>#REF!</v>
      </c>
    </row>
    <row r="15" ht="14.25" customHeight="1">
      <c r="A15" s="10">
        <v>45304.0</v>
      </c>
      <c r="B15" s="11" t="s">
        <v>42</v>
      </c>
      <c r="C15" s="12" t="s">
        <v>43</v>
      </c>
      <c r="D15" s="13"/>
      <c r="E15" s="14"/>
      <c r="F15" s="14"/>
      <c r="G15" s="14"/>
      <c r="H15" s="15"/>
      <c r="I15" s="14" t="str">
        <f>208/8</f>
        <v>26</v>
      </c>
      <c r="J15" s="14"/>
      <c r="K15" s="14"/>
      <c r="L15" s="14"/>
      <c r="M15" s="14"/>
      <c r="N15" s="15"/>
      <c r="O15" s="14"/>
      <c r="P15" s="16" t="s">
        <v>44</v>
      </c>
      <c r="Q15" s="17" t="s">
        <v>26</v>
      </c>
      <c r="R15" s="18">
        <v>0.4166666666666667</v>
      </c>
      <c r="S15" s="16" t="s">
        <v>45</v>
      </c>
      <c r="T15" s="14" t="str">
        <f t="shared" si="1"/>
        <v>#REF!</v>
      </c>
    </row>
    <row r="16" ht="14.25" customHeight="1">
      <c r="A16" s="10">
        <v>45304.0</v>
      </c>
      <c r="B16" s="11" t="s">
        <v>46</v>
      </c>
      <c r="C16" s="12" t="s">
        <v>47</v>
      </c>
      <c r="D16" s="13"/>
      <c r="E16" s="14"/>
      <c r="F16" s="14"/>
      <c r="G16" s="14"/>
      <c r="H16" s="15"/>
      <c r="I16" s="14">
        <v>93.0</v>
      </c>
      <c r="J16" s="14"/>
      <c r="K16" s="14"/>
      <c r="L16" s="14"/>
      <c r="M16" s="14"/>
      <c r="N16" s="15"/>
      <c r="O16" s="14"/>
      <c r="P16" s="16" t="s">
        <v>26</v>
      </c>
      <c r="Q16" s="17" t="s">
        <v>26</v>
      </c>
      <c r="R16" s="18">
        <v>0.6875</v>
      </c>
      <c r="S16" s="16" t="s">
        <v>48</v>
      </c>
      <c r="T16" s="14" t="str">
        <f t="shared" si="1"/>
        <v>#REF!</v>
      </c>
    </row>
    <row r="17" ht="14.25" customHeight="1">
      <c r="A17" s="10">
        <v>45304.0</v>
      </c>
      <c r="B17" s="11" t="s">
        <v>49</v>
      </c>
      <c r="C17" s="12" t="s">
        <v>50</v>
      </c>
      <c r="D17" s="13"/>
      <c r="E17" s="15"/>
      <c r="F17" s="14"/>
      <c r="G17" s="14"/>
      <c r="H17" s="14"/>
      <c r="I17" s="14">
        <v>21.0</v>
      </c>
      <c r="J17" s="14"/>
      <c r="K17" s="14"/>
      <c r="L17" s="14"/>
      <c r="M17" s="14"/>
      <c r="N17" s="14"/>
      <c r="O17" s="14"/>
      <c r="P17" s="16" t="s">
        <v>51</v>
      </c>
      <c r="Q17" s="17" t="s">
        <v>26</v>
      </c>
      <c r="R17" s="18">
        <v>0.4166666666666667</v>
      </c>
      <c r="S17" s="16" t="s">
        <v>52</v>
      </c>
      <c r="T17" s="14" t="str">
        <f t="shared" si="1"/>
        <v>#REF!</v>
      </c>
    </row>
    <row r="18" ht="14.25" customHeight="1">
      <c r="A18" s="10">
        <v>45304.0</v>
      </c>
      <c r="B18" s="11" t="s">
        <v>53</v>
      </c>
      <c r="C18" s="12" t="s">
        <v>54</v>
      </c>
      <c r="D18" s="13"/>
      <c r="E18" s="14"/>
      <c r="F18" s="14"/>
      <c r="G18" s="14"/>
      <c r="H18" s="15"/>
      <c r="I18" s="14">
        <v>26.0</v>
      </c>
      <c r="J18" s="14"/>
      <c r="K18" s="14"/>
      <c r="L18" s="14"/>
      <c r="M18" s="14"/>
      <c r="N18" s="15"/>
      <c r="O18" s="14"/>
      <c r="P18" s="16" t="s">
        <v>55</v>
      </c>
      <c r="Q18" s="17" t="s">
        <v>26</v>
      </c>
      <c r="R18" s="18">
        <v>0.4166666666666667</v>
      </c>
      <c r="S18" s="16" t="s">
        <v>56</v>
      </c>
      <c r="T18" s="14" t="str">
        <f t="shared" si="1"/>
        <v>#REF!</v>
      </c>
    </row>
    <row r="19" ht="14.25" customHeight="1">
      <c r="A19" s="10">
        <v>45304.0</v>
      </c>
      <c r="B19" s="11" t="s">
        <v>23</v>
      </c>
      <c r="C19" s="12" t="s">
        <v>24</v>
      </c>
      <c r="D19" s="13"/>
      <c r="E19" s="14"/>
      <c r="F19" s="15">
        <v>31.0</v>
      </c>
      <c r="G19" s="14"/>
      <c r="H19" s="15"/>
      <c r="I19" s="14"/>
      <c r="J19" s="14"/>
      <c r="K19" s="14"/>
      <c r="L19" s="14"/>
      <c r="M19" s="14"/>
      <c r="N19" s="15"/>
      <c r="O19" s="14"/>
      <c r="P19" s="16" t="s">
        <v>25</v>
      </c>
      <c r="Q19" s="17" t="s">
        <v>26</v>
      </c>
      <c r="R19" s="18">
        <v>0.625</v>
      </c>
      <c r="S19" s="16" t="s">
        <v>27</v>
      </c>
      <c r="T19" s="14" t="str">
        <f t="shared" si="1"/>
        <v>#REF!</v>
      </c>
    </row>
    <row r="20" ht="14.25" customHeight="1">
      <c r="A20" s="10">
        <v>45305.0</v>
      </c>
      <c r="B20" s="11" t="s">
        <v>57</v>
      </c>
      <c r="C20" s="12" t="s">
        <v>58</v>
      </c>
      <c r="D20" s="13"/>
      <c r="E20" s="14"/>
      <c r="F20" s="14"/>
      <c r="G20" s="15"/>
      <c r="H20" s="14">
        <v>26.0</v>
      </c>
      <c r="I20" s="14"/>
      <c r="J20" s="14"/>
      <c r="K20" s="14"/>
      <c r="L20" s="14"/>
      <c r="M20" s="14"/>
      <c r="N20" s="15"/>
      <c r="O20" s="14"/>
      <c r="P20" s="16" t="s">
        <v>28</v>
      </c>
      <c r="Q20" s="17" t="s">
        <v>26</v>
      </c>
      <c r="R20" s="18">
        <v>0.4166666666666667</v>
      </c>
      <c r="S20" s="16" t="s">
        <v>56</v>
      </c>
      <c r="T20" s="14" t="str">
        <f t="shared" si="1"/>
        <v>#REF!</v>
      </c>
    </row>
    <row r="21" ht="14.25" customHeight="1">
      <c r="A21" s="10">
        <v>45305.0</v>
      </c>
      <c r="B21" s="11" t="s">
        <v>42</v>
      </c>
      <c r="C21" s="12" t="s">
        <v>43</v>
      </c>
      <c r="D21" s="13"/>
      <c r="E21" s="14"/>
      <c r="F21" s="14"/>
      <c r="G21" s="15"/>
      <c r="H21" s="14"/>
      <c r="I21" s="14" t="str">
        <f>208/8</f>
        <v>26</v>
      </c>
      <c r="J21" s="14"/>
      <c r="K21" s="14"/>
      <c r="L21" s="14"/>
      <c r="M21" s="14"/>
      <c r="N21" s="15"/>
      <c r="O21" s="14"/>
      <c r="P21" s="16" t="s">
        <v>59</v>
      </c>
      <c r="Q21" s="17" t="s">
        <v>26</v>
      </c>
      <c r="R21" s="18">
        <v>0.4166666666666667</v>
      </c>
      <c r="S21" s="16" t="s">
        <v>45</v>
      </c>
      <c r="T21" s="14" t="str">
        <f t="shared" si="1"/>
        <v>#REF!</v>
      </c>
    </row>
    <row r="22" ht="14.25" customHeight="1">
      <c r="A22" s="10">
        <v>45305.0</v>
      </c>
      <c r="B22" s="11" t="s">
        <v>23</v>
      </c>
      <c r="C22" s="12" t="s">
        <v>24</v>
      </c>
      <c r="D22" s="13"/>
      <c r="E22" s="14"/>
      <c r="F22" s="15">
        <v>28.0</v>
      </c>
      <c r="G22" s="14"/>
      <c r="H22" s="15"/>
      <c r="I22" s="14"/>
      <c r="J22" s="14"/>
      <c r="K22" s="14"/>
      <c r="L22" s="14"/>
      <c r="M22" s="14"/>
      <c r="N22" s="15"/>
      <c r="O22" s="14"/>
      <c r="P22" s="16" t="s">
        <v>37</v>
      </c>
      <c r="Q22" s="17" t="s">
        <v>26</v>
      </c>
      <c r="R22" s="18">
        <v>0.4166666666666667</v>
      </c>
      <c r="S22" s="16" t="s">
        <v>27</v>
      </c>
      <c r="T22" s="14" t="str">
        <f t="shared" si="1"/>
        <v>#REF!</v>
      </c>
    </row>
    <row r="23" ht="14.25" customHeight="1">
      <c r="A23" s="10">
        <v>45305.0</v>
      </c>
      <c r="B23" s="11" t="s">
        <v>23</v>
      </c>
      <c r="C23" s="12" t="s">
        <v>24</v>
      </c>
      <c r="D23" s="13"/>
      <c r="E23" s="14"/>
      <c r="F23" s="15">
        <v>21.0</v>
      </c>
      <c r="G23" s="15"/>
      <c r="H23" s="14"/>
      <c r="I23" s="14"/>
      <c r="J23" s="14"/>
      <c r="K23" s="14"/>
      <c r="L23" s="14"/>
      <c r="M23" s="14"/>
      <c r="N23" s="15"/>
      <c r="O23" s="14"/>
      <c r="P23" s="16" t="s">
        <v>37</v>
      </c>
      <c r="Q23" s="17" t="s">
        <v>26</v>
      </c>
      <c r="R23" s="18">
        <v>0.625</v>
      </c>
      <c r="S23" s="16" t="s">
        <v>27</v>
      </c>
      <c r="T23" s="14" t="str">
        <f t="shared" si="1"/>
        <v>#REF!</v>
      </c>
    </row>
    <row r="24" ht="18.0" customHeight="1">
      <c r="A24" s="10">
        <v>45306.0</v>
      </c>
      <c r="B24" s="11" t="s">
        <v>60</v>
      </c>
      <c r="C24" s="12" t="s">
        <v>61</v>
      </c>
      <c r="D24" s="13"/>
      <c r="E24" s="14"/>
      <c r="F24" s="14"/>
      <c r="G24" s="14"/>
      <c r="H24" s="15">
        <v>21.0</v>
      </c>
      <c r="I24" s="14"/>
      <c r="J24" s="14"/>
      <c r="K24" s="14"/>
      <c r="L24" s="14"/>
      <c r="M24" s="14"/>
      <c r="N24" s="15"/>
      <c r="O24" s="14"/>
      <c r="P24" s="16" t="s">
        <v>25</v>
      </c>
      <c r="Q24" s="17" t="s">
        <v>26</v>
      </c>
      <c r="R24" s="18">
        <v>0.4166666666666667</v>
      </c>
      <c r="S24" s="16" t="s">
        <v>56</v>
      </c>
      <c r="T24" s="14" t="str">
        <f t="shared" si="1"/>
        <v>#REF!</v>
      </c>
    </row>
    <row r="25" ht="18.0" customHeight="1">
      <c r="A25" s="10">
        <v>45306.0</v>
      </c>
      <c r="B25" s="11" t="s">
        <v>42</v>
      </c>
      <c r="C25" s="12" t="s">
        <v>43</v>
      </c>
      <c r="D25" s="13"/>
      <c r="E25" s="14"/>
      <c r="F25" s="14"/>
      <c r="G25" s="14"/>
      <c r="H25" s="15"/>
      <c r="I25" s="14" t="str">
        <f t="shared" ref="I25:I26" si="2">208/8</f>
        <v>26</v>
      </c>
      <c r="J25" s="14"/>
      <c r="K25" s="14"/>
      <c r="L25" s="14"/>
      <c r="M25" s="14"/>
      <c r="N25" s="15"/>
      <c r="O25" s="14"/>
      <c r="P25" s="16" t="s">
        <v>30</v>
      </c>
      <c r="Q25" s="17" t="s">
        <v>26</v>
      </c>
      <c r="R25" s="18">
        <v>0.6875</v>
      </c>
      <c r="S25" s="16" t="s">
        <v>45</v>
      </c>
      <c r="T25" s="14" t="str">
        <f t="shared" si="1"/>
        <v>#REF!</v>
      </c>
    </row>
    <row r="26" ht="16.5" customHeight="1">
      <c r="A26" s="10">
        <v>45306.0</v>
      </c>
      <c r="B26" s="11" t="s">
        <v>42</v>
      </c>
      <c r="C26" s="12" t="s">
        <v>43</v>
      </c>
      <c r="D26" s="13"/>
      <c r="E26" s="14"/>
      <c r="F26" s="14"/>
      <c r="G26" s="14"/>
      <c r="H26" s="15"/>
      <c r="I26" s="14" t="str">
        <f t="shared" si="2"/>
        <v>26</v>
      </c>
      <c r="J26" s="14"/>
      <c r="K26" s="14"/>
      <c r="L26" s="14"/>
      <c r="M26" s="14"/>
      <c r="N26" s="15"/>
      <c r="O26" s="14"/>
      <c r="P26" s="16" t="s">
        <v>62</v>
      </c>
      <c r="Q26" s="17" t="s">
        <v>26</v>
      </c>
      <c r="R26" s="18">
        <v>0.6875</v>
      </c>
      <c r="S26" s="16" t="s">
        <v>63</v>
      </c>
      <c r="T26" s="14" t="str">
        <f t="shared" si="1"/>
        <v>#REF!</v>
      </c>
    </row>
    <row r="27" ht="18.0" customHeight="1">
      <c r="A27" s="10">
        <v>45306.0</v>
      </c>
      <c r="B27" s="11" t="s">
        <v>23</v>
      </c>
      <c r="C27" s="12" t="s">
        <v>24</v>
      </c>
      <c r="D27" s="13"/>
      <c r="E27" s="14"/>
      <c r="F27" s="15">
        <v>21.0</v>
      </c>
      <c r="G27" s="15"/>
      <c r="H27" s="14"/>
      <c r="I27" s="14"/>
      <c r="J27" s="14"/>
      <c r="K27" s="14"/>
      <c r="L27" s="14"/>
      <c r="M27" s="14"/>
      <c r="N27" s="15"/>
      <c r="O27" s="14"/>
      <c r="P27" s="16" t="s">
        <v>26</v>
      </c>
      <c r="Q27" s="17" t="s">
        <v>26</v>
      </c>
      <c r="R27" s="18">
        <v>0.4166666666666667</v>
      </c>
      <c r="S27" s="16" t="s">
        <v>27</v>
      </c>
      <c r="T27" s="14" t="str">
        <f t="shared" si="1"/>
        <v>#REF!</v>
      </c>
    </row>
    <row r="28" ht="17.25" customHeight="1">
      <c r="A28" s="10">
        <v>45306.0</v>
      </c>
      <c r="B28" s="11" t="s">
        <v>23</v>
      </c>
      <c r="C28" s="12" t="s">
        <v>24</v>
      </c>
      <c r="D28" s="13"/>
      <c r="E28" s="14"/>
      <c r="F28" s="15">
        <v>23.0</v>
      </c>
      <c r="G28" s="15"/>
      <c r="H28" s="14"/>
      <c r="I28" s="14"/>
      <c r="J28" s="14"/>
      <c r="K28" s="14"/>
      <c r="L28" s="14"/>
      <c r="M28" s="14"/>
      <c r="N28" s="15"/>
      <c r="O28" s="14"/>
      <c r="P28" s="16" t="s">
        <v>35</v>
      </c>
      <c r="Q28" s="17" t="s">
        <v>26</v>
      </c>
      <c r="R28" s="18">
        <v>0.4166666666666667</v>
      </c>
      <c r="S28" s="16" t="s">
        <v>29</v>
      </c>
      <c r="T28" s="14" t="str">
        <f t="shared" si="1"/>
        <v>#REF!</v>
      </c>
    </row>
    <row r="29" ht="14.25" customHeight="1">
      <c r="A29" s="10">
        <v>45307.0</v>
      </c>
      <c r="B29" s="11" t="s">
        <v>60</v>
      </c>
      <c r="C29" s="12" t="s">
        <v>61</v>
      </c>
      <c r="D29" s="13"/>
      <c r="E29" s="14"/>
      <c r="F29" s="14"/>
      <c r="G29" s="14"/>
      <c r="H29" s="15">
        <v>21.0</v>
      </c>
      <c r="I29" s="14"/>
      <c r="J29" s="14"/>
      <c r="K29" s="14"/>
      <c r="L29" s="14"/>
      <c r="M29" s="14"/>
      <c r="N29" s="15"/>
      <c r="O29" s="14"/>
      <c r="P29" s="16" t="s">
        <v>26</v>
      </c>
      <c r="Q29" s="17" t="s">
        <v>26</v>
      </c>
      <c r="R29" s="18">
        <v>0.125</v>
      </c>
      <c r="S29" s="16" t="s">
        <v>56</v>
      </c>
      <c r="T29" s="14" t="str">
        <f t="shared" si="1"/>
        <v>#REF!</v>
      </c>
    </row>
    <row r="30" ht="14.25" customHeight="1">
      <c r="A30" s="10">
        <v>45307.0</v>
      </c>
      <c r="B30" s="11" t="s">
        <v>60</v>
      </c>
      <c r="C30" s="12" t="s">
        <v>61</v>
      </c>
      <c r="D30" s="13"/>
      <c r="E30" s="14"/>
      <c r="F30" s="14"/>
      <c r="G30" s="14"/>
      <c r="H30" s="15">
        <v>21.0</v>
      </c>
      <c r="I30" s="14"/>
      <c r="J30" s="14"/>
      <c r="K30" s="14"/>
      <c r="L30" s="14"/>
      <c r="M30" s="14"/>
      <c r="N30" s="15"/>
      <c r="O30" s="14"/>
      <c r="P30" s="16" t="s">
        <v>37</v>
      </c>
      <c r="Q30" s="17" t="s">
        <v>26</v>
      </c>
      <c r="R30" s="18">
        <v>0.4166666666666667</v>
      </c>
      <c r="S30" s="16" t="s">
        <v>56</v>
      </c>
      <c r="T30" s="14" t="str">
        <f t="shared" si="1"/>
        <v>#REF!</v>
      </c>
    </row>
    <row r="31" ht="14.25" customHeight="1">
      <c r="A31" s="10">
        <v>45307.0</v>
      </c>
      <c r="B31" s="11" t="s">
        <v>42</v>
      </c>
      <c r="C31" s="12" t="s">
        <v>43</v>
      </c>
      <c r="D31" s="13"/>
      <c r="E31" s="14"/>
      <c r="F31" s="14"/>
      <c r="G31" s="14"/>
      <c r="H31" s="15"/>
      <c r="I31" s="14" t="str">
        <f t="shared" ref="I31:I32" si="3">208/8</f>
        <v>26</v>
      </c>
      <c r="J31" s="14"/>
      <c r="K31" s="14"/>
      <c r="L31" s="14"/>
      <c r="M31" s="14"/>
      <c r="N31" s="15"/>
      <c r="O31" s="14"/>
      <c r="P31" s="16" t="s">
        <v>28</v>
      </c>
      <c r="Q31" s="17" t="s">
        <v>26</v>
      </c>
      <c r="R31" s="18">
        <v>0.4166666666666667</v>
      </c>
      <c r="S31" s="16" t="s">
        <v>63</v>
      </c>
      <c r="T31" s="14" t="str">
        <f t="shared" si="1"/>
        <v>#REF!</v>
      </c>
    </row>
    <row r="32" ht="14.25" customHeight="1">
      <c r="A32" s="10">
        <v>45307.0</v>
      </c>
      <c r="B32" s="11" t="s">
        <v>42</v>
      </c>
      <c r="C32" s="12" t="s">
        <v>43</v>
      </c>
      <c r="D32" s="13"/>
      <c r="E32" s="15"/>
      <c r="F32" s="14"/>
      <c r="G32" s="14"/>
      <c r="H32" s="14"/>
      <c r="I32" s="14" t="str">
        <f t="shared" si="3"/>
        <v>26</v>
      </c>
      <c r="J32" s="14"/>
      <c r="K32" s="14"/>
      <c r="L32" s="14"/>
      <c r="M32" s="14"/>
      <c r="N32" s="14"/>
      <c r="O32" s="14"/>
      <c r="P32" s="16" t="s">
        <v>59</v>
      </c>
      <c r="Q32" s="17" t="s">
        <v>26</v>
      </c>
      <c r="R32" s="18">
        <v>0.4166666666666667</v>
      </c>
      <c r="S32" s="16" t="s">
        <v>45</v>
      </c>
      <c r="T32" s="14" t="str">
        <f t="shared" si="1"/>
        <v>#REF!</v>
      </c>
    </row>
    <row r="33" ht="14.25" customHeight="1">
      <c r="A33" s="10">
        <v>45308.0</v>
      </c>
      <c r="B33" s="11" t="s">
        <v>60</v>
      </c>
      <c r="C33" s="12" t="s">
        <v>61</v>
      </c>
      <c r="D33" s="13"/>
      <c r="E33" s="14"/>
      <c r="F33" s="14"/>
      <c r="G33" s="14"/>
      <c r="H33" s="15">
        <v>21.0</v>
      </c>
      <c r="I33" s="14"/>
      <c r="J33" s="14"/>
      <c r="K33" s="14"/>
      <c r="L33" s="14"/>
      <c r="M33" s="14"/>
      <c r="N33" s="15"/>
      <c r="O33" s="14"/>
      <c r="P33" s="16" t="s">
        <v>30</v>
      </c>
      <c r="Q33" s="17" t="s">
        <v>26</v>
      </c>
      <c r="R33" s="18">
        <v>0.125</v>
      </c>
      <c r="S33" s="16" t="s">
        <v>56</v>
      </c>
      <c r="T33" s="14" t="str">
        <f t="shared" si="1"/>
        <v>#REF!</v>
      </c>
    </row>
    <row r="34" ht="14.25" customHeight="1">
      <c r="A34" s="10">
        <v>45308.0</v>
      </c>
      <c r="B34" s="11" t="s">
        <v>60</v>
      </c>
      <c r="C34" s="12" t="s">
        <v>61</v>
      </c>
      <c r="D34" s="13"/>
      <c r="E34" s="14"/>
      <c r="F34" s="14"/>
      <c r="G34" s="15"/>
      <c r="H34" s="14">
        <v>21.0</v>
      </c>
      <c r="I34" s="14"/>
      <c r="J34" s="14"/>
      <c r="K34" s="14"/>
      <c r="L34" s="14"/>
      <c r="M34" s="14"/>
      <c r="N34" s="15"/>
      <c r="O34" s="14"/>
      <c r="P34" s="16" t="s">
        <v>51</v>
      </c>
      <c r="Q34" s="17" t="s">
        <v>26</v>
      </c>
      <c r="R34" s="18">
        <v>0.4166666666666667</v>
      </c>
      <c r="S34" s="16" t="s">
        <v>56</v>
      </c>
      <c r="T34" s="14" t="str">
        <f t="shared" si="1"/>
        <v>#REF!</v>
      </c>
    </row>
    <row r="35" ht="14.25" customHeight="1">
      <c r="A35" s="10">
        <v>45308.0</v>
      </c>
      <c r="B35" s="11" t="s">
        <v>42</v>
      </c>
      <c r="C35" s="12" t="s">
        <v>43</v>
      </c>
      <c r="D35" s="13"/>
      <c r="E35" s="14"/>
      <c r="F35" s="14"/>
      <c r="G35" s="14"/>
      <c r="H35" s="15"/>
      <c r="I35" s="14" t="str">
        <f t="shared" ref="I35:I36" si="4">208/8</f>
        <v>26</v>
      </c>
      <c r="J35" s="14"/>
      <c r="K35" s="14"/>
      <c r="L35" s="14"/>
      <c r="M35" s="14"/>
      <c r="N35" s="15"/>
      <c r="O35" s="14"/>
      <c r="P35" s="16" t="s">
        <v>51</v>
      </c>
      <c r="Q35" s="17" t="s">
        <v>26</v>
      </c>
      <c r="R35" s="18">
        <v>0.4166666666666667</v>
      </c>
      <c r="S35" s="16" t="s">
        <v>63</v>
      </c>
      <c r="T35" s="14" t="str">
        <f t="shared" si="1"/>
        <v>#REF!</v>
      </c>
    </row>
    <row r="36" ht="14.25" customHeight="1">
      <c r="A36" s="10">
        <v>45310.0</v>
      </c>
      <c r="B36" s="11" t="s">
        <v>42</v>
      </c>
      <c r="C36" s="12" t="s">
        <v>43</v>
      </c>
      <c r="D36" s="13"/>
      <c r="E36" s="15"/>
      <c r="F36" s="14"/>
      <c r="G36" s="14"/>
      <c r="H36" s="14"/>
      <c r="I36" s="14" t="str">
        <f t="shared" si="4"/>
        <v>26</v>
      </c>
      <c r="J36" s="14"/>
      <c r="K36" s="14"/>
      <c r="L36" s="14"/>
      <c r="M36" s="14"/>
      <c r="N36" s="15"/>
      <c r="O36" s="14"/>
      <c r="P36" s="16" t="s">
        <v>37</v>
      </c>
      <c r="Q36" s="17" t="s">
        <v>26</v>
      </c>
      <c r="R36" s="18">
        <v>0.4166666666666667</v>
      </c>
      <c r="S36" s="16" t="s">
        <v>63</v>
      </c>
      <c r="T36" s="14" t="str">
        <f t="shared" si="1"/>
        <v>#REF!</v>
      </c>
    </row>
    <row r="37" ht="14.25" customHeight="1">
      <c r="A37" s="10">
        <v>45311.0</v>
      </c>
      <c r="B37" s="11" t="s">
        <v>60</v>
      </c>
      <c r="C37" s="12" t="s">
        <v>61</v>
      </c>
      <c r="D37" s="13"/>
      <c r="E37" s="14"/>
      <c r="F37" s="14"/>
      <c r="G37" s="15"/>
      <c r="H37" s="14">
        <v>21.0</v>
      </c>
      <c r="I37" s="14"/>
      <c r="J37" s="14"/>
      <c r="K37" s="14"/>
      <c r="L37" s="14"/>
      <c r="M37" s="14"/>
      <c r="N37" s="15"/>
      <c r="O37" s="14"/>
      <c r="P37" s="16" t="s">
        <v>31</v>
      </c>
      <c r="Q37" s="17" t="s">
        <v>26</v>
      </c>
      <c r="R37" s="18">
        <v>0.125</v>
      </c>
      <c r="S37" s="16" t="s">
        <v>56</v>
      </c>
      <c r="T37" s="14" t="str">
        <f t="shared" si="1"/>
        <v>#REF!</v>
      </c>
    </row>
    <row r="38" ht="14.25" customHeight="1">
      <c r="A38" s="10">
        <v>45311.0</v>
      </c>
      <c r="B38" s="11" t="s">
        <v>60</v>
      </c>
      <c r="C38" s="12" t="s">
        <v>61</v>
      </c>
      <c r="D38" s="13"/>
      <c r="E38" s="14"/>
      <c r="F38" s="14"/>
      <c r="G38" s="15"/>
      <c r="H38" s="14">
        <v>21.0</v>
      </c>
      <c r="I38" s="14"/>
      <c r="J38" s="14"/>
      <c r="K38" s="14"/>
      <c r="L38" s="14"/>
      <c r="M38" s="14"/>
      <c r="N38" s="15"/>
      <c r="O38" s="14"/>
      <c r="P38" s="16" t="s">
        <v>37</v>
      </c>
      <c r="Q38" s="17" t="s">
        <v>26</v>
      </c>
      <c r="R38" s="18">
        <v>0.4166666666666667</v>
      </c>
      <c r="S38" s="16" t="s">
        <v>56</v>
      </c>
      <c r="T38" s="14" t="str">
        <f t="shared" si="1"/>
        <v>#REF!</v>
      </c>
    </row>
    <row r="39" ht="14.25" customHeight="1">
      <c r="A39" s="10">
        <v>45312.0</v>
      </c>
      <c r="B39" s="11" t="s">
        <v>64</v>
      </c>
      <c r="C39" s="12" t="s">
        <v>65</v>
      </c>
      <c r="D39" s="13"/>
      <c r="E39" s="14"/>
      <c r="F39" s="14"/>
      <c r="G39" s="14"/>
      <c r="H39" s="14">
        <v>26.0</v>
      </c>
      <c r="I39" s="14"/>
      <c r="J39" s="14"/>
      <c r="K39" s="14"/>
      <c r="L39" s="14"/>
      <c r="M39" s="14"/>
      <c r="N39" s="15"/>
      <c r="O39" s="14"/>
      <c r="P39" s="16" t="s">
        <v>59</v>
      </c>
      <c r="Q39" s="17" t="s">
        <v>26</v>
      </c>
      <c r="R39" s="18">
        <v>0.625</v>
      </c>
      <c r="S39" s="16" t="s">
        <v>56</v>
      </c>
      <c r="T39" s="14" t="str">
        <f t="shared" si="1"/>
        <v>#REF!</v>
      </c>
    </row>
    <row r="40" ht="17.25" customHeight="1">
      <c r="A40" s="10">
        <v>45312.0</v>
      </c>
      <c r="B40" s="11" t="s">
        <v>64</v>
      </c>
      <c r="C40" s="12" t="s">
        <v>65</v>
      </c>
      <c r="D40" s="13"/>
      <c r="E40" s="14"/>
      <c r="F40" s="14"/>
      <c r="G40" s="15"/>
      <c r="H40" s="14">
        <v>26.0</v>
      </c>
      <c r="I40" s="14"/>
      <c r="J40" s="14"/>
      <c r="K40" s="14"/>
      <c r="L40" s="14"/>
      <c r="M40" s="14"/>
      <c r="N40" s="15"/>
      <c r="O40" s="14"/>
      <c r="P40" s="16" t="s">
        <v>30</v>
      </c>
      <c r="Q40" s="17" t="s">
        <v>26</v>
      </c>
      <c r="R40" s="18">
        <v>0.4166666666666667</v>
      </c>
      <c r="S40" s="16" t="s">
        <v>56</v>
      </c>
      <c r="T40" s="14" t="str">
        <f t="shared" si="1"/>
        <v>#REF!</v>
      </c>
    </row>
    <row r="41" ht="14.25" customHeight="1">
      <c r="A41" s="10"/>
      <c r="B41" s="10"/>
      <c r="C41" s="19" t="s">
        <v>66</v>
      </c>
      <c r="D41" s="15" t="str">
        <f t="shared" ref="D41:N41" si="5">SUM(D5:D40)</f>
        <v>0</v>
      </c>
      <c r="E41" s="15" t="str">
        <f t="shared" si="5"/>
        <v>42</v>
      </c>
      <c r="F41" s="15" t="str">
        <f t="shared" si="5"/>
        <v>232</v>
      </c>
      <c r="G41" s="15" t="str">
        <f t="shared" si="5"/>
        <v>0</v>
      </c>
      <c r="H41" s="15" t="str">
        <f t="shared" si="5"/>
        <v>225</v>
      </c>
      <c r="I41" s="15" t="str">
        <f t="shared" si="5"/>
        <v>348</v>
      </c>
      <c r="J41" s="15" t="str">
        <f t="shared" si="5"/>
        <v>0</v>
      </c>
      <c r="K41" s="15" t="str">
        <f t="shared" si="5"/>
        <v>0</v>
      </c>
      <c r="L41" s="15" t="str">
        <f t="shared" si="5"/>
        <v>0</v>
      </c>
      <c r="M41" s="15" t="str">
        <f t="shared" si="5"/>
        <v>0</v>
      </c>
      <c r="N41" s="15" t="str">
        <f t="shared" si="5"/>
        <v>0</v>
      </c>
      <c r="O41" s="15" t="str">
        <f>SUM(O5:O30)</f>
        <v>0</v>
      </c>
      <c r="P41" s="20"/>
      <c r="Q41" s="20"/>
      <c r="R41" s="20"/>
      <c r="S41" s="20"/>
      <c r="T41" s="21"/>
    </row>
    <row r="42" ht="9.0" customHeight="1">
      <c r="A42" s="22"/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</row>
    <row r="43" ht="14.25" customHeight="1">
      <c r="A43" s="25"/>
      <c r="B43" s="25"/>
      <c r="C43" s="24"/>
      <c r="D43" s="25"/>
      <c r="E43" s="27"/>
      <c r="F43" s="27"/>
      <c r="G43" s="27"/>
      <c r="H43" s="15" t="s">
        <v>67</v>
      </c>
      <c r="I43" s="28" t="s">
        <v>68</v>
      </c>
      <c r="J43" s="15" t="s">
        <v>69</v>
      </c>
      <c r="K43" s="15"/>
      <c r="L43" s="29" t="s">
        <v>70</v>
      </c>
      <c r="M43" s="29"/>
      <c r="N43" s="29"/>
      <c r="O43" s="15" t="s">
        <v>71</v>
      </c>
      <c r="P43" s="27"/>
      <c r="Q43" s="25"/>
      <c r="R43" s="25"/>
      <c r="S43" s="25"/>
      <c r="T43" s="26"/>
    </row>
    <row r="44" ht="14.25" customHeight="1">
      <c r="A44" s="25"/>
      <c r="B44" s="25"/>
      <c r="C44" s="30"/>
      <c r="D44" s="25"/>
      <c r="E44" s="31"/>
      <c r="F44" s="31"/>
      <c r="G44" s="31"/>
      <c r="H44" s="32">
        <v>1.0</v>
      </c>
      <c r="I44" s="33"/>
      <c r="J44" s="34" t="str">
        <f>E41</f>
        <v>42</v>
      </c>
      <c r="K44" s="34"/>
      <c r="L44" s="35">
        <v>41.0</v>
      </c>
      <c r="M44" s="32"/>
      <c r="N44" s="32"/>
      <c r="O44" s="36" t="str">
        <f t="shared" ref="O44:O47" si="6">J44*L44</f>
        <v>1722.00</v>
      </c>
      <c r="P44" s="37"/>
      <c r="Q44" s="25"/>
      <c r="R44" s="25"/>
      <c r="S44" s="25"/>
      <c r="T44" s="26"/>
    </row>
    <row r="45" ht="14.25" customHeight="1">
      <c r="A45" s="25"/>
      <c r="B45" s="25"/>
      <c r="C45" s="30"/>
      <c r="D45" s="25"/>
      <c r="E45" s="31"/>
      <c r="F45" s="31"/>
      <c r="G45" s="31"/>
      <c r="H45" s="32">
        <v>2.0</v>
      </c>
      <c r="I45" s="33"/>
      <c r="J45" s="34" t="str">
        <f>F41</f>
        <v>232</v>
      </c>
      <c r="K45" s="34"/>
      <c r="L45" s="38">
        <v>50.0</v>
      </c>
      <c r="M45" s="32"/>
      <c r="N45" s="32"/>
      <c r="O45" s="36" t="str">
        <f t="shared" si="6"/>
        <v>11600.00</v>
      </c>
      <c r="P45" s="37"/>
      <c r="Q45" s="25"/>
      <c r="R45" s="25"/>
      <c r="S45" s="25"/>
      <c r="T45" s="26"/>
    </row>
    <row r="46" ht="14.25" customHeight="1">
      <c r="A46" s="25"/>
      <c r="B46" s="25"/>
      <c r="C46" s="30"/>
      <c r="D46" s="25"/>
      <c r="E46" s="31"/>
      <c r="F46" s="31"/>
      <c r="G46" s="31"/>
      <c r="H46" s="32">
        <v>4.0</v>
      </c>
      <c r="I46" s="33"/>
      <c r="J46" s="34" t="str">
        <f>H41</f>
        <v>225</v>
      </c>
      <c r="K46" s="34"/>
      <c r="L46" s="38">
        <v>65.0</v>
      </c>
      <c r="M46" s="32"/>
      <c r="N46" s="32"/>
      <c r="O46" s="36" t="str">
        <f t="shared" si="6"/>
        <v>14625.00</v>
      </c>
      <c r="P46" s="37"/>
      <c r="Q46" s="25"/>
      <c r="R46" s="25"/>
      <c r="S46" s="25"/>
      <c r="T46" s="26"/>
    </row>
    <row r="47" ht="14.25" customHeight="1">
      <c r="A47" s="25"/>
      <c r="B47" s="25"/>
      <c r="C47" s="30"/>
      <c r="D47" s="25"/>
      <c r="E47" s="31"/>
      <c r="F47" s="31"/>
      <c r="G47" s="31"/>
      <c r="H47" s="32">
        <v>5.0</v>
      </c>
      <c r="I47" s="33"/>
      <c r="J47" s="34" t="str">
        <f>I41</f>
        <v>348</v>
      </c>
      <c r="K47" s="34"/>
      <c r="L47" s="38">
        <v>77.0</v>
      </c>
      <c r="M47" s="32"/>
      <c r="N47" s="32"/>
      <c r="O47" s="36" t="str">
        <f t="shared" si="6"/>
        <v>26796.00</v>
      </c>
      <c r="P47" s="37"/>
      <c r="Q47" s="25"/>
      <c r="R47" s="25"/>
      <c r="S47" s="25"/>
      <c r="T47" s="26"/>
    </row>
    <row r="48" ht="14.25" customHeight="1">
      <c r="A48" s="25"/>
      <c r="B48" s="25"/>
      <c r="C48" s="24"/>
      <c r="D48" s="25"/>
      <c r="E48" s="31"/>
      <c r="F48" s="31"/>
      <c r="G48" s="31"/>
      <c r="H48" s="32"/>
      <c r="I48" s="39"/>
      <c r="J48" s="40" t="str">
        <f>SUM(J44:J47)</f>
        <v>847</v>
      </c>
      <c r="K48" s="39"/>
      <c r="L48" s="39"/>
      <c r="M48" s="39"/>
      <c r="N48" s="39"/>
      <c r="O48" s="41" t="str">
        <f>SUM(O44:O47)</f>
        <v>54743</v>
      </c>
      <c r="P48" s="42"/>
      <c r="Q48" s="25"/>
      <c r="R48" s="25"/>
      <c r="S48" s="25"/>
      <c r="T48" s="26"/>
    </row>
    <row r="49" ht="14.25" customHeight="1">
      <c r="A49" s="25"/>
      <c r="B49" s="25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37"/>
      <c r="P50" s="25"/>
      <c r="Q50" s="25"/>
      <c r="R50" s="25"/>
      <c r="S50" s="25"/>
      <c r="T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37"/>
      <c r="P51" s="25"/>
      <c r="Q51" s="25"/>
      <c r="R51" s="25"/>
      <c r="S51" s="25"/>
      <c r="T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37"/>
      <c r="P52" s="25"/>
      <c r="Q52" s="25"/>
      <c r="R52" s="25"/>
      <c r="S52" s="25"/>
      <c r="T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</sheetData>
  <autoFilter ref="$A$4:$T$41">
    <sortState ref="A4:T41">
      <sortCondition ref="A4:A41"/>
    </sortState>
  </autoFilter>
  <mergeCells count="3">
    <mergeCell ref="A1:T1"/>
    <mergeCell ref="A2:T2"/>
    <mergeCell ref="A3:T3"/>
  </mergeCells>
  <dataValidations>
    <dataValidation type="list" allowBlank="1" showErrorMessage="1" sqref="S5:S40">
      <formula1>ID</formula1>
    </dataValidation>
  </dataValidations>
  <printOptions/>
  <pageMargins bottom="1.0" footer="0.0" header="0.0" left="0.2" right="0.2" top="0.75"/>
  <pageSetup fitToHeight="0" orientation="landscape"/>
  <headerFooter>
    <oddFooter>&amp;LPrepared by: Batel Sarker Program officer&amp;CReview by: AP Finance Officer &amp;RApproved by:  AP Manager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14"/>
    <col customWidth="1" min="3" max="3" width="27.0"/>
    <col customWidth="1" min="4" max="4" width="7.43"/>
    <col customWidth="1" min="5" max="6" width="5.57"/>
    <col customWidth="1" min="7" max="7" width="4.86"/>
    <col customWidth="1" min="8" max="8" width="5.57"/>
    <col customWidth="1" min="9" max="9" width="10.14"/>
    <col customWidth="1" min="10" max="10" width="5.14"/>
    <col customWidth="1" min="11" max="11" width="5.86"/>
    <col customWidth="1" min="12" max="12" width="19.86"/>
    <col customWidth="1" min="13" max="13" width="9.14"/>
    <col customWidth="1" min="14" max="14" width="8.57"/>
    <col customWidth="1" min="15" max="15" width="7.43"/>
    <col customWidth="1" min="16" max="16" width="14.14"/>
    <col customWidth="1" min="17" max="17" width="13.43"/>
    <col customWidth="1" min="18" max="22" width="8.86"/>
  </cols>
  <sheetData>
    <row r="1" ht="14.25" customHeight="1">
      <c r="A1" s="43" t="s">
        <v>0</v>
      </c>
      <c r="R1" s="25"/>
      <c r="S1" s="25"/>
      <c r="T1" s="25"/>
      <c r="U1" s="25"/>
      <c r="V1" s="25"/>
    </row>
    <row r="2" ht="14.25" customHeight="1">
      <c r="A2" s="44" t="s">
        <v>1</v>
      </c>
      <c r="R2" s="25"/>
      <c r="S2" s="25"/>
      <c r="T2" s="25"/>
      <c r="U2" s="25"/>
      <c r="V2" s="25"/>
    </row>
    <row r="3" ht="14.25" customHeight="1">
      <c r="A3" s="43" t="s">
        <v>72</v>
      </c>
      <c r="R3" s="25"/>
      <c r="S3" s="25"/>
      <c r="T3" s="25"/>
      <c r="U3" s="25"/>
      <c r="V3" s="25"/>
    </row>
    <row r="4" ht="46.5" customHeight="1">
      <c r="A4" s="45" t="s">
        <v>3</v>
      </c>
      <c r="B4" s="46" t="s">
        <v>4</v>
      </c>
      <c r="C4" s="46" t="s">
        <v>5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6" t="s">
        <v>78</v>
      </c>
      <c r="J4" s="6" t="s">
        <v>79</v>
      </c>
      <c r="K4" s="6" t="s">
        <v>80</v>
      </c>
      <c r="L4" s="14" t="s">
        <v>18</v>
      </c>
      <c r="M4" s="7" t="s">
        <v>19</v>
      </c>
      <c r="N4" s="7" t="s">
        <v>81</v>
      </c>
      <c r="O4" s="7" t="s">
        <v>82</v>
      </c>
      <c r="P4" s="8" t="s">
        <v>21</v>
      </c>
      <c r="Q4" s="9" t="s">
        <v>22</v>
      </c>
      <c r="R4" s="7"/>
      <c r="S4" s="7"/>
      <c r="T4" s="8"/>
      <c r="U4" s="9"/>
      <c r="V4" s="25"/>
    </row>
    <row r="5" ht="28.5" customHeight="1">
      <c r="A5" s="47">
        <v>46212.0</v>
      </c>
      <c r="B5" s="48" t="s">
        <v>83</v>
      </c>
      <c r="C5" s="49" t="s">
        <v>84</v>
      </c>
      <c r="D5" s="50"/>
      <c r="E5" s="51"/>
      <c r="F5" s="51"/>
      <c r="G5" s="51">
        <v>52.0</v>
      </c>
      <c r="H5" s="51"/>
      <c r="I5" s="51"/>
      <c r="J5" s="51"/>
      <c r="K5" s="51"/>
      <c r="L5" s="49" t="s">
        <v>85</v>
      </c>
      <c r="M5" s="48" t="s">
        <v>86</v>
      </c>
      <c r="N5" s="52">
        <v>0.4166666666666667</v>
      </c>
      <c r="O5" s="48"/>
      <c r="P5" s="49" t="s">
        <v>87</v>
      </c>
      <c r="Q5" s="53" t="s">
        <v>88</v>
      </c>
      <c r="R5" s="54"/>
      <c r="S5" s="54"/>
      <c r="T5" s="54"/>
      <c r="U5" s="54"/>
      <c r="V5" s="54"/>
    </row>
    <row r="6" ht="28.5" customHeight="1">
      <c r="A6" s="47">
        <v>46212.0</v>
      </c>
      <c r="B6" s="48" t="s">
        <v>83</v>
      </c>
      <c r="C6" s="49" t="s">
        <v>84</v>
      </c>
      <c r="D6" s="50"/>
      <c r="E6" s="51"/>
      <c r="F6" s="51"/>
      <c r="G6" s="51">
        <v>52.0</v>
      </c>
      <c r="H6" s="51"/>
      <c r="I6" s="51"/>
      <c r="J6" s="51"/>
      <c r="K6" s="51"/>
      <c r="L6" s="49" t="s">
        <v>89</v>
      </c>
      <c r="M6" s="48" t="s">
        <v>86</v>
      </c>
      <c r="N6" s="52">
        <v>0.4166666666666667</v>
      </c>
      <c r="O6" s="48"/>
      <c r="P6" s="49" t="s">
        <v>90</v>
      </c>
      <c r="Q6" s="53" t="s">
        <v>91</v>
      </c>
      <c r="R6" s="54"/>
      <c r="S6" s="54"/>
      <c r="T6" s="54"/>
      <c r="U6" s="54"/>
      <c r="V6" s="54"/>
    </row>
    <row r="7" ht="28.5" customHeight="1">
      <c r="A7" s="47">
        <v>46212.0</v>
      </c>
      <c r="B7" s="48" t="s">
        <v>83</v>
      </c>
      <c r="C7" s="49" t="s">
        <v>84</v>
      </c>
      <c r="D7" s="50"/>
      <c r="E7" s="51"/>
      <c r="F7" s="51"/>
      <c r="G7" s="51">
        <v>52.0</v>
      </c>
      <c r="H7" s="51"/>
      <c r="I7" s="51"/>
      <c r="J7" s="51"/>
      <c r="K7" s="51"/>
      <c r="L7" s="49" t="s">
        <v>92</v>
      </c>
      <c r="M7" s="48" t="s">
        <v>86</v>
      </c>
      <c r="N7" s="52">
        <v>0.4166666666666667</v>
      </c>
      <c r="O7" s="48"/>
      <c r="P7" s="49" t="s">
        <v>93</v>
      </c>
      <c r="Q7" s="53" t="s">
        <v>94</v>
      </c>
      <c r="R7" s="54"/>
      <c r="S7" s="54"/>
      <c r="T7" s="54"/>
      <c r="U7" s="54"/>
      <c r="V7" s="54"/>
    </row>
    <row r="8" ht="28.5" customHeight="1">
      <c r="A8" s="47">
        <v>46212.0</v>
      </c>
      <c r="B8" s="48" t="s">
        <v>83</v>
      </c>
      <c r="C8" s="49" t="s">
        <v>84</v>
      </c>
      <c r="D8" s="50"/>
      <c r="E8" s="51"/>
      <c r="F8" s="51"/>
      <c r="G8" s="51">
        <v>52.0</v>
      </c>
      <c r="H8" s="51"/>
      <c r="I8" s="51"/>
      <c r="J8" s="51"/>
      <c r="K8" s="51"/>
      <c r="L8" s="49" t="s">
        <v>95</v>
      </c>
      <c r="M8" s="48" t="s">
        <v>86</v>
      </c>
      <c r="N8" s="52">
        <v>0.4166666666666667</v>
      </c>
      <c r="O8" s="48"/>
      <c r="P8" s="49" t="s">
        <v>96</v>
      </c>
      <c r="Q8" s="53" t="s">
        <v>97</v>
      </c>
      <c r="R8" s="54"/>
      <c r="S8" s="54"/>
      <c r="T8" s="54"/>
      <c r="U8" s="54"/>
      <c r="V8" s="54"/>
    </row>
    <row r="9" ht="28.5" customHeight="1">
      <c r="A9" s="47">
        <v>46212.0</v>
      </c>
      <c r="B9" s="48" t="s">
        <v>83</v>
      </c>
      <c r="C9" s="49" t="s">
        <v>84</v>
      </c>
      <c r="D9" s="50"/>
      <c r="E9" s="51"/>
      <c r="F9" s="51"/>
      <c r="G9" s="51">
        <v>52.0</v>
      </c>
      <c r="H9" s="51"/>
      <c r="I9" s="51"/>
      <c r="J9" s="51"/>
      <c r="K9" s="51"/>
      <c r="L9" s="49" t="s">
        <v>98</v>
      </c>
      <c r="M9" s="48" t="s">
        <v>86</v>
      </c>
      <c r="N9" s="52">
        <v>0.4166666666666667</v>
      </c>
      <c r="O9" s="48"/>
      <c r="P9" s="49" t="s">
        <v>99</v>
      </c>
      <c r="Q9" s="53" t="s">
        <v>100</v>
      </c>
      <c r="R9" s="54"/>
      <c r="S9" s="54"/>
      <c r="T9" s="54"/>
      <c r="U9" s="54"/>
      <c r="V9" s="54"/>
    </row>
    <row r="10" ht="28.5" customHeight="1">
      <c r="A10" s="47">
        <v>46212.0</v>
      </c>
      <c r="B10" s="48" t="s">
        <v>83</v>
      </c>
      <c r="C10" s="49" t="s">
        <v>84</v>
      </c>
      <c r="D10" s="50"/>
      <c r="E10" s="51"/>
      <c r="F10" s="51"/>
      <c r="G10" s="51">
        <v>52.0</v>
      </c>
      <c r="H10" s="51"/>
      <c r="I10" s="51"/>
      <c r="J10" s="51"/>
      <c r="K10" s="51"/>
      <c r="L10" s="49" t="s">
        <v>101</v>
      </c>
      <c r="M10" s="48" t="s">
        <v>86</v>
      </c>
      <c r="N10" s="52">
        <v>0.4166666666666667</v>
      </c>
      <c r="O10" s="48"/>
      <c r="P10" s="49" t="s">
        <v>102</v>
      </c>
      <c r="Q10" s="53" t="s">
        <v>103</v>
      </c>
      <c r="R10" s="54"/>
      <c r="S10" s="54"/>
      <c r="T10" s="54"/>
      <c r="U10" s="54"/>
      <c r="V10" s="54"/>
    </row>
    <row r="11" ht="28.5" customHeight="1">
      <c r="A11" s="47">
        <v>46243.0</v>
      </c>
      <c r="B11" s="48" t="s">
        <v>104</v>
      </c>
      <c r="C11" s="49" t="s">
        <v>105</v>
      </c>
      <c r="D11" s="50">
        <v>52.0</v>
      </c>
      <c r="E11" s="48"/>
      <c r="F11" s="48"/>
      <c r="G11" s="48"/>
      <c r="H11" s="48"/>
      <c r="I11" s="48"/>
      <c r="J11" s="48"/>
      <c r="K11" s="49"/>
      <c r="L11" s="49" t="s">
        <v>85</v>
      </c>
      <c r="M11" s="48" t="s">
        <v>86</v>
      </c>
      <c r="N11" s="52">
        <v>0.4166666666666667</v>
      </c>
      <c r="O11" s="48"/>
      <c r="P11" s="49" t="s">
        <v>87</v>
      </c>
      <c r="Q11" s="53" t="s">
        <v>88</v>
      </c>
      <c r="R11" s="54"/>
      <c r="S11" s="54"/>
      <c r="T11" s="54"/>
      <c r="U11" s="54"/>
      <c r="V11" s="54"/>
    </row>
    <row r="12" ht="28.5" customHeight="1">
      <c r="A12" s="47">
        <v>46243.0</v>
      </c>
      <c r="B12" s="48" t="s">
        <v>104</v>
      </c>
      <c r="C12" s="49" t="s">
        <v>105</v>
      </c>
      <c r="D12" s="50">
        <v>52.0</v>
      </c>
      <c r="E12" s="48"/>
      <c r="F12" s="48"/>
      <c r="G12" s="48"/>
      <c r="H12" s="48"/>
      <c r="I12" s="48"/>
      <c r="J12" s="48"/>
      <c r="K12" s="49"/>
      <c r="L12" s="49" t="s">
        <v>89</v>
      </c>
      <c r="M12" s="48" t="s">
        <v>86</v>
      </c>
      <c r="N12" s="52">
        <v>0.4166666666666667</v>
      </c>
      <c r="O12" s="48"/>
      <c r="P12" s="49" t="s">
        <v>90</v>
      </c>
      <c r="Q12" s="53" t="s">
        <v>91</v>
      </c>
      <c r="R12" s="54"/>
      <c r="S12" s="54"/>
      <c r="T12" s="54"/>
      <c r="U12" s="54"/>
      <c r="V12" s="54"/>
    </row>
    <row r="13" ht="28.5" customHeight="1">
      <c r="A13" s="47">
        <v>46243.0</v>
      </c>
      <c r="B13" s="48" t="s">
        <v>104</v>
      </c>
      <c r="C13" s="49" t="s">
        <v>105</v>
      </c>
      <c r="D13" s="50">
        <v>52.0</v>
      </c>
      <c r="E13" s="48"/>
      <c r="F13" s="48"/>
      <c r="G13" s="48"/>
      <c r="H13" s="48"/>
      <c r="I13" s="48"/>
      <c r="J13" s="48"/>
      <c r="K13" s="49"/>
      <c r="L13" s="49" t="s">
        <v>92</v>
      </c>
      <c r="M13" s="48" t="s">
        <v>86</v>
      </c>
      <c r="N13" s="52">
        <v>0.4166666666666667</v>
      </c>
      <c r="O13" s="48"/>
      <c r="P13" s="49" t="s">
        <v>93</v>
      </c>
      <c r="Q13" s="53" t="s">
        <v>94</v>
      </c>
      <c r="R13" s="54"/>
      <c r="S13" s="54"/>
      <c r="T13" s="54"/>
      <c r="U13" s="54"/>
      <c r="V13" s="54"/>
    </row>
    <row r="14" ht="28.5" customHeight="1">
      <c r="A14" s="47">
        <v>46243.0</v>
      </c>
      <c r="B14" s="48" t="s">
        <v>104</v>
      </c>
      <c r="C14" s="49" t="s">
        <v>105</v>
      </c>
      <c r="D14" s="50">
        <v>52.0</v>
      </c>
      <c r="E14" s="48"/>
      <c r="F14" s="48"/>
      <c r="G14" s="48"/>
      <c r="H14" s="48"/>
      <c r="I14" s="48"/>
      <c r="J14" s="48"/>
      <c r="K14" s="49"/>
      <c r="L14" s="49" t="s">
        <v>95</v>
      </c>
      <c r="M14" s="48" t="s">
        <v>86</v>
      </c>
      <c r="N14" s="52">
        <v>0.4166666666666667</v>
      </c>
      <c r="O14" s="48"/>
      <c r="P14" s="49" t="s">
        <v>96</v>
      </c>
      <c r="Q14" s="53" t="s">
        <v>97</v>
      </c>
      <c r="R14" s="54"/>
      <c r="S14" s="54"/>
      <c r="T14" s="54"/>
      <c r="U14" s="54"/>
      <c r="V14" s="54"/>
    </row>
    <row r="15" ht="28.5" customHeight="1">
      <c r="A15" s="47">
        <v>46243.0</v>
      </c>
      <c r="B15" s="48" t="s">
        <v>104</v>
      </c>
      <c r="C15" s="49" t="s">
        <v>105</v>
      </c>
      <c r="D15" s="50">
        <v>52.0</v>
      </c>
      <c r="E15" s="48"/>
      <c r="F15" s="48"/>
      <c r="G15" s="48"/>
      <c r="H15" s="48"/>
      <c r="I15" s="48"/>
      <c r="J15" s="48"/>
      <c r="K15" s="49"/>
      <c r="L15" s="49" t="s">
        <v>98</v>
      </c>
      <c r="M15" s="48" t="s">
        <v>86</v>
      </c>
      <c r="N15" s="52">
        <v>0.4166666666666667</v>
      </c>
      <c r="O15" s="48"/>
      <c r="P15" s="49" t="s">
        <v>99</v>
      </c>
      <c r="Q15" s="53" t="s">
        <v>100</v>
      </c>
      <c r="R15" s="54"/>
      <c r="S15" s="54"/>
      <c r="T15" s="54"/>
      <c r="U15" s="54"/>
      <c r="V15" s="54"/>
    </row>
    <row r="16" ht="28.5" customHeight="1">
      <c r="A16" s="47">
        <v>46243.0</v>
      </c>
      <c r="B16" s="48" t="s">
        <v>104</v>
      </c>
      <c r="C16" s="49" t="s">
        <v>105</v>
      </c>
      <c r="D16" s="50">
        <v>52.0</v>
      </c>
      <c r="E16" s="48"/>
      <c r="F16" s="48"/>
      <c r="G16" s="48"/>
      <c r="H16" s="48"/>
      <c r="I16" s="48"/>
      <c r="J16" s="48"/>
      <c r="K16" s="49"/>
      <c r="L16" s="49" t="s">
        <v>101</v>
      </c>
      <c r="M16" s="48" t="s">
        <v>86</v>
      </c>
      <c r="N16" s="52">
        <v>0.4166666666666667</v>
      </c>
      <c r="O16" s="48"/>
      <c r="P16" s="49" t="s">
        <v>102</v>
      </c>
      <c r="Q16" s="53" t="s">
        <v>103</v>
      </c>
      <c r="R16" s="54"/>
      <c r="S16" s="54"/>
      <c r="T16" s="54"/>
      <c r="U16" s="54"/>
      <c r="V16" s="54"/>
    </row>
    <row r="17" ht="28.5" customHeight="1">
      <c r="A17" s="47">
        <v>46243.0</v>
      </c>
      <c r="B17" s="48" t="s">
        <v>106</v>
      </c>
      <c r="C17" s="49" t="s">
        <v>107</v>
      </c>
      <c r="D17" s="50"/>
      <c r="E17" s="48"/>
      <c r="F17" s="48"/>
      <c r="G17" s="48"/>
      <c r="H17" s="48"/>
      <c r="I17" s="48">
        <v>60.0</v>
      </c>
      <c r="J17" s="48"/>
      <c r="K17" s="49"/>
      <c r="L17" s="49" t="s">
        <v>85</v>
      </c>
      <c r="M17" s="48" t="s">
        <v>86</v>
      </c>
      <c r="N17" s="52">
        <v>0.4166666666666667</v>
      </c>
      <c r="O17" s="48"/>
      <c r="P17" s="49" t="s">
        <v>108</v>
      </c>
      <c r="Q17" s="53"/>
      <c r="R17" s="54"/>
      <c r="S17" s="54"/>
      <c r="T17" s="54"/>
      <c r="U17" s="54"/>
      <c r="V17" s="54"/>
    </row>
    <row r="18" ht="28.5" customHeight="1">
      <c r="A18" s="47">
        <v>46243.0</v>
      </c>
      <c r="B18" s="48" t="s">
        <v>106</v>
      </c>
      <c r="C18" s="49" t="s">
        <v>107</v>
      </c>
      <c r="D18" s="50"/>
      <c r="E18" s="48"/>
      <c r="F18" s="48"/>
      <c r="G18" s="48"/>
      <c r="H18" s="48"/>
      <c r="I18" s="48">
        <v>60.0</v>
      </c>
      <c r="J18" s="48"/>
      <c r="K18" s="49"/>
      <c r="L18" s="49" t="s">
        <v>109</v>
      </c>
      <c r="M18" s="48" t="s">
        <v>86</v>
      </c>
      <c r="N18" s="52">
        <v>0.4166666666666667</v>
      </c>
      <c r="O18" s="48"/>
      <c r="P18" s="49" t="s">
        <v>108</v>
      </c>
      <c r="Q18" s="53"/>
      <c r="R18" s="54"/>
      <c r="S18" s="54"/>
      <c r="T18" s="54"/>
      <c r="U18" s="54"/>
      <c r="V18" s="54"/>
    </row>
    <row r="19" ht="28.5" customHeight="1">
      <c r="A19" s="47">
        <v>46243.0</v>
      </c>
      <c r="B19" s="48" t="s">
        <v>106</v>
      </c>
      <c r="C19" s="49" t="s">
        <v>107</v>
      </c>
      <c r="D19" s="50"/>
      <c r="E19" s="48"/>
      <c r="F19" s="48"/>
      <c r="G19" s="48"/>
      <c r="H19" s="48"/>
      <c r="I19" s="48">
        <v>60.0</v>
      </c>
      <c r="J19" s="48"/>
      <c r="K19" s="49"/>
      <c r="L19" s="49" t="s">
        <v>110</v>
      </c>
      <c r="M19" s="48" t="s">
        <v>86</v>
      </c>
      <c r="N19" s="52">
        <v>0.4166666666666667</v>
      </c>
      <c r="O19" s="48"/>
      <c r="P19" s="49" t="s">
        <v>108</v>
      </c>
      <c r="Q19" s="53"/>
      <c r="R19" s="54"/>
      <c r="S19" s="54"/>
      <c r="T19" s="54"/>
      <c r="U19" s="54"/>
      <c r="V19" s="54"/>
    </row>
    <row r="20" ht="28.5" customHeight="1">
      <c r="A20" s="55">
        <v>46212.0</v>
      </c>
      <c r="B20" s="46" t="s">
        <v>111</v>
      </c>
      <c r="C20" s="56" t="s">
        <v>112</v>
      </c>
      <c r="D20" s="57"/>
      <c r="E20" s="45"/>
      <c r="F20" s="45"/>
      <c r="G20" s="45">
        <v>26.0</v>
      </c>
      <c r="H20" s="45"/>
      <c r="I20" s="45"/>
      <c r="J20" s="45"/>
      <c r="K20" s="45"/>
      <c r="L20" s="56" t="s">
        <v>113</v>
      </c>
      <c r="M20" s="45" t="s">
        <v>86</v>
      </c>
      <c r="N20" s="58">
        <v>0.4166666666666667</v>
      </c>
      <c r="O20" s="45"/>
      <c r="P20" s="56" t="s">
        <v>114</v>
      </c>
      <c r="Q20" s="59" t="s">
        <v>115</v>
      </c>
      <c r="R20" s="54"/>
      <c r="S20" s="54"/>
      <c r="T20" s="54"/>
      <c r="U20" s="54"/>
      <c r="V20" s="54"/>
    </row>
    <row r="21" ht="28.5" customHeight="1">
      <c r="A21" s="55">
        <v>46212.0</v>
      </c>
      <c r="B21" s="46" t="s">
        <v>111</v>
      </c>
      <c r="C21" s="56" t="s">
        <v>112</v>
      </c>
      <c r="D21" s="57"/>
      <c r="E21" s="45"/>
      <c r="F21" s="45"/>
      <c r="G21" s="45">
        <v>26.0</v>
      </c>
      <c r="H21" s="45"/>
      <c r="I21" s="45"/>
      <c r="J21" s="45"/>
      <c r="K21" s="45"/>
      <c r="L21" s="56" t="s">
        <v>116</v>
      </c>
      <c r="M21" s="45" t="s">
        <v>86</v>
      </c>
      <c r="N21" s="58">
        <v>0.4166666666666667</v>
      </c>
      <c r="O21" s="45"/>
      <c r="P21" s="56" t="s">
        <v>117</v>
      </c>
      <c r="Q21" s="60"/>
      <c r="R21" s="54"/>
      <c r="S21" s="54"/>
      <c r="T21" s="54"/>
      <c r="U21" s="54"/>
      <c r="V21" s="54"/>
    </row>
    <row r="22" ht="28.5" customHeight="1">
      <c r="A22" s="55">
        <v>46212.0</v>
      </c>
      <c r="B22" s="46" t="s">
        <v>111</v>
      </c>
      <c r="C22" s="56" t="s">
        <v>112</v>
      </c>
      <c r="D22" s="57"/>
      <c r="E22" s="45"/>
      <c r="F22" s="45"/>
      <c r="G22" s="45">
        <v>26.0</v>
      </c>
      <c r="H22" s="45"/>
      <c r="I22" s="45"/>
      <c r="J22" s="45"/>
      <c r="K22" s="45"/>
      <c r="L22" s="56" t="s">
        <v>101</v>
      </c>
      <c r="M22" s="45" t="s">
        <v>86</v>
      </c>
      <c r="N22" s="58">
        <v>0.4166666666666667</v>
      </c>
      <c r="O22" s="45"/>
      <c r="P22" s="56" t="s">
        <v>118</v>
      </c>
      <c r="Q22" s="60"/>
      <c r="R22" s="54"/>
      <c r="S22" s="54"/>
      <c r="T22" s="54"/>
      <c r="U22" s="54"/>
      <c r="V22" s="54"/>
    </row>
    <row r="23" ht="28.5" customHeight="1">
      <c r="A23" s="55">
        <v>46212.0</v>
      </c>
      <c r="B23" s="46" t="s">
        <v>111</v>
      </c>
      <c r="C23" s="56" t="s">
        <v>112</v>
      </c>
      <c r="D23" s="57"/>
      <c r="E23" s="45"/>
      <c r="F23" s="45"/>
      <c r="G23" s="45">
        <v>26.0</v>
      </c>
      <c r="H23" s="45"/>
      <c r="I23" s="45"/>
      <c r="J23" s="45"/>
      <c r="K23" s="45"/>
      <c r="L23" s="56" t="s">
        <v>119</v>
      </c>
      <c r="M23" s="45" t="s">
        <v>86</v>
      </c>
      <c r="N23" s="58">
        <v>0.4166666666666667</v>
      </c>
      <c r="O23" s="45"/>
      <c r="P23" s="56" t="s">
        <v>120</v>
      </c>
      <c r="Q23" s="60"/>
      <c r="R23" s="54"/>
      <c r="S23" s="54"/>
      <c r="T23" s="54"/>
      <c r="U23" s="54"/>
      <c r="V23" s="54"/>
    </row>
    <row r="24" ht="28.5" customHeight="1">
      <c r="A24" s="55">
        <v>46243.0</v>
      </c>
      <c r="B24" s="46" t="s">
        <v>111</v>
      </c>
      <c r="C24" s="56" t="s">
        <v>112</v>
      </c>
      <c r="D24" s="57"/>
      <c r="E24" s="45"/>
      <c r="F24" s="45"/>
      <c r="G24" s="45">
        <v>26.0</v>
      </c>
      <c r="H24" s="45"/>
      <c r="I24" s="45"/>
      <c r="J24" s="45"/>
      <c r="K24" s="45"/>
      <c r="L24" s="56" t="s">
        <v>121</v>
      </c>
      <c r="M24" s="45" t="s">
        <v>86</v>
      </c>
      <c r="N24" s="58">
        <v>0.4166666666666667</v>
      </c>
      <c r="O24" s="45"/>
      <c r="P24" s="56" t="s">
        <v>114</v>
      </c>
      <c r="Q24" s="60"/>
      <c r="R24" s="54"/>
      <c r="S24" s="54"/>
      <c r="T24" s="54"/>
      <c r="U24" s="54"/>
      <c r="V24" s="54"/>
    </row>
    <row r="25" ht="28.5" customHeight="1">
      <c r="A25" s="55">
        <v>46243.0</v>
      </c>
      <c r="B25" s="46" t="s">
        <v>111</v>
      </c>
      <c r="C25" s="56" t="s">
        <v>112</v>
      </c>
      <c r="D25" s="57"/>
      <c r="E25" s="45"/>
      <c r="F25" s="45"/>
      <c r="G25" s="45">
        <v>26.0</v>
      </c>
      <c r="H25" s="45"/>
      <c r="I25" s="45"/>
      <c r="J25" s="45"/>
      <c r="K25" s="45"/>
      <c r="L25" s="56" t="s">
        <v>92</v>
      </c>
      <c r="M25" s="45" t="s">
        <v>86</v>
      </c>
      <c r="N25" s="58">
        <v>0.4166666666666667</v>
      </c>
      <c r="O25" s="45"/>
      <c r="P25" s="56" t="s">
        <v>117</v>
      </c>
      <c r="Q25" s="60"/>
      <c r="R25" s="54"/>
      <c r="S25" s="54"/>
      <c r="T25" s="54"/>
      <c r="U25" s="54"/>
      <c r="V25" s="54"/>
    </row>
    <row r="26" ht="28.5" customHeight="1">
      <c r="A26" s="55">
        <v>46243.0</v>
      </c>
      <c r="B26" s="46" t="s">
        <v>111</v>
      </c>
      <c r="C26" s="56" t="s">
        <v>112</v>
      </c>
      <c r="D26" s="57"/>
      <c r="E26" s="45"/>
      <c r="F26" s="45"/>
      <c r="G26" s="45">
        <v>26.0</v>
      </c>
      <c r="H26" s="45"/>
      <c r="I26" s="45"/>
      <c r="J26" s="45"/>
      <c r="K26" s="45"/>
      <c r="L26" s="56" t="s">
        <v>122</v>
      </c>
      <c r="M26" s="45" t="s">
        <v>86</v>
      </c>
      <c r="N26" s="58">
        <v>0.4166666666666667</v>
      </c>
      <c r="O26" s="45"/>
      <c r="P26" s="56" t="s">
        <v>118</v>
      </c>
      <c r="Q26" s="60"/>
      <c r="R26" s="54"/>
      <c r="S26" s="54"/>
      <c r="T26" s="54"/>
      <c r="U26" s="54"/>
      <c r="V26" s="54"/>
    </row>
    <row r="27" ht="28.5" customHeight="1">
      <c r="A27" s="55">
        <v>46243.0</v>
      </c>
      <c r="B27" s="46" t="s">
        <v>111</v>
      </c>
      <c r="C27" s="56" t="s">
        <v>112</v>
      </c>
      <c r="D27" s="57"/>
      <c r="E27" s="45"/>
      <c r="F27" s="45"/>
      <c r="G27" s="45">
        <v>26.0</v>
      </c>
      <c r="H27" s="45"/>
      <c r="I27" s="45"/>
      <c r="J27" s="45"/>
      <c r="K27" s="45"/>
      <c r="L27" s="56" t="s">
        <v>123</v>
      </c>
      <c r="M27" s="45" t="s">
        <v>86</v>
      </c>
      <c r="N27" s="58">
        <v>0.4166666666666667</v>
      </c>
      <c r="O27" s="45"/>
      <c r="P27" s="56" t="s">
        <v>120</v>
      </c>
      <c r="Q27" s="60"/>
      <c r="R27" s="54"/>
      <c r="S27" s="54"/>
      <c r="T27" s="54"/>
      <c r="U27" s="54"/>
      <c r="V27" s="54"/>
    </row>
    <row r="28" ht="28.5" customHeight="1">
      <c r="A28" s="55">
        <v>46274.0</v>
      </c>
      <c r="B28" s="46" t="s">
        <v>111</v>
      </c>
      <c r="C28" s="56" t="s">
        <v>112</v>
      </c>
      <c r="D28" s="57"/>
      <c r="E28" s="45"/>
      <c r="F28" s="45"/>
      <c r="G28" s="45">
        <v>26.0</v>
      </c>
      <c r="H28" s="45"/>
      <c r="I28" s="45"/>
      <c r="J28" s="45"/>
      <c r="K28" s="45"/>
      <c r="L28" s="56" t="s">
        <v>110</v>
      </c>
      <c r="M28" s="45" t="s">
        <v>86</v>
      </c>
      <c r="N28" s="58">
        <v>0.4166666666666667</v>
      </c>
      <c r="O28" s="45"/>
      <c r="P28" s="56" t="s">
        <v>114</v>
      </c>
      <c r="Q28" s="60"/>
      <c r="R28" s="54"/>
      <c r="S28" s="54"/>
      <c r="T28" s="54"/>
      <c r="U28" s="54"/>
      <c r="V28" s="54"/>
    </row>
    <row r="29" ht="28.5" customHeight="1">
      <c r="A29" s="55">
        <v>46274.0</v>
      </c>
      <c r="B29" s="46" t="s">
        <v>111</v>
      </c>
      <c r="C29" s="56" t="s">
        <v>112</v>
      </c>
      <c r="D29" s="57"/>
      <c r="E29" s="45"/>
      <c r="F29" s="45"/>
      <c r="G29" s="45">
        <v>26.0</v>
      </c>
      <c r="H29" s="45"/>
      <c r="I29" s="45"/>
      <c r="J29" s="45"/>
      <c r="K29" s="45"/>
      <c r="L29" s="56" t="s">
        <v>124</v>
      </c>
      <c r="M29" s="45" t="s">
        <v>86</v>
      </c>
      <c r="N29" s="58">
        <v>0.4166666666666667</v>
      </c>
      <c r="O29" s="45"/>
      <c r="P29" s="56" t="s">
        <v>117</v>
      </c>
      <c r="Q29" s="60"/>
      <c r="R29" s="54"/>
      <c r="S29" s="54"/>
      <c r="T29" s="54"/>
      <c r="U29" s="54"/>
      <c r="V29" s="54"/>
    </row>
    <row r="30" ht="28.5" customHeight="1">
      <c r="A30" s="55">
        <v>46274.0</v>
      </c>
      <c r="B30" s="46" t="s">
        <v>111</v>
      </c>
      <c r="C30" s="56" t="s">
        <v>112</v>
      </c>
      <c r="D30" s="57"/>
      <c r="E30" s="45"/>
      <c r="F30" s="45"/>
      <c r="G30" s="45">
        <v>26.0</v>
      </c>
      <c r="H30" s="45"/>
      <c r="I30" s="45"/>
      <c r="J30" s="45"/>
      <c r="K30" s="45"/>
      <c r="L30" s="56" t="s">
        <v>122</v>
      </c>
      <c r="M30" s="45" t="s">
        <v>86</v>
      </c>
      <c r="N30" s="58">
        <v>0.4166666666666667</v>
      </c>
      <c r="O30" s="45"/>
      <c r="P30" s="56" t="s">
        <v>118</v>
      </c>
      <c r="Q30" s="60"/>
      <c r="R30" s="54"/>
      <c r="S30" s="54"/>
      <c r="T30" s="54"/>
      <c r="U30" s="54"/>
      <c r="V30" s="54"/>
    </row>
    <row r="31" ht="28.5" customHeight="1">
      <c r="A31" s="55">
        <v>46274.0</v>
      </c>
      <c r="B31" s="46" t="s">
        <v>111</v>
      </c>
      <c r="C31" s="56" t="s">
        <v>112</v>
      </c>
      <c r="D31" s="57"/>
      <c r="E31" s="45"/>
      <c r="F31" s="45"/>
      <c r="G31" s="45">
        <v>26.0</v>
      </c>
      <c r="H31" s="45"/>
      <c r="I31" s="45"/>
      <c r="J31" s="45"/>
      <c r="K31" s="45"/>
      <c r="L31" s="56" t="s">
        <v>125</v>
      </c>
      <c r="M31" s="45" t="s">
        <v>86</v>
      </c>
      <c r="N31" s="58">
        <v>0.4166666666666667</v>
      </c>
      <c r="O31" s="45"/>
      <c r="P31" s="56" t="s">
        <v>120</v>
      </c>
      <c r="Q31" s="61"/>
      <c r="R31" s="54"/>
      <c r="S31" s="54"/>
      <c r="T31" s="54"/>
      <c r="U31" s="54"/>
      <c r="V31" s="54"/>
    </row>
    <row r="32" ht="28.5" customHeight="1">
      <c r="A32" s="62" t="s">
        <v>126</v>
      </c>
      <c r="B32" s="48" t="s">
        <v>127</v>
      </c>
      <c r="C32" s="49" t="s">
        <v>128</v>
      </c>
      <c r="D32" s="50"/>
      <c r="E32" s="48"/>
      <c r="F32" s="48"/>
      <c r="G32" s="48"/>
      <c r="H32" s="48"/>
      <c r="I32" s="48">
        <v>156.0</v>
      </c>
      <c r="J32" s="48"/>
      <c r="K32" s="49"/>
      <c r="L32" s="49" t="s">
        <v>129</v>
      </c>
      <c r="M32" s="45" t="s">
        <v>86</v>
      </c>
      <c r="N32" s="58">
        <v>0.4166666666666667</v>
      </c>
      <c r="O32" s="48"/>
      <c r="P32" s="49" t="s">
        <v>108</v>
      </c>
      <c r="Q32" s="53"/>
      <c r="R32" s="54"/>
      <c r="S32" s="54"/>
      <c r="T32" s="54"/>
      <c r="U32" s="54"/>
      <c r="V32" s="54"/>
    </row>
    <row r="33" ht="28.5" customHeight="1">
      <c r="A33" s="62" t="s">
        <v>130</v>
      </c>
      <c r="B33" s="48" t="s">
        <v>127</v>
      </c>
      <c r="C33" s="49" t="s">
        <v>128</v>
      </c>
      <c r="D33" s="50"/>
      <c r="E33" s="48"/>
      <c r="F33" s="48"/>
      <c r="G33" s="48"/>
      <c r="H33" s="48"/>
      <c r="I33" s="48">
        <v>156.0</v>
      </c>
      <c r="J33" s="48"/>
      <c r="K33" s="49"/>
      <c r="L33" s="49" t="s">
        <v>129</v>
      </c>
      <c r="M33" s="45" t="s">
        <v>86</v>
      </c>
      <c r="N33" s="58">
        <v>0.4166666666666667</v>
      </c>
      <c r="O33" s="48"/>
      <c r="P33" s="49" t="s">
        <v>108</v>
      </c>
      <c r="Q33" s="53"/>
      <c r="R33" s="54"/>
      <c r="S33" s="54"/>
      <c r="T33" s="54"/>
      <c r="U33" s="54"/>
      <c r="V33" s="54"/>
    </row>
    <row r="34" ht="28.5" customHeight="1">
      <c r="A34" s="47">
        <v>46212.0</v>
      </c>
      <c r="B34" s="48" t="s">
        <v>131</v>
      </c>
      <c r="C34" s="49" t="s">
        <v>132</v>
      </c>
      <c r="D34" s="50"/>
      <c r="E34" s="48"/>
      <c r="F34" s="48">
        <v>22.0</v>
      </c>
      <c r="G34" s="48"/>
      <c r="H34" s="48"/>
      <c r="I34" s="48"/>
      <c r="J34" s="48"/>
      <c r="K34" s="49"/>
      <c r="L34" s="49" t="s">
        <v>85</v>
      </c>
      <c r="M34" s="45" t="s">
        <v>86</v>
      </c>
      <c r="N34" s="58">
        <v>0.4166666666666667</v>
      </c>
      <c r="O34" s="48"/>
      <c r="P34" s="63" t="s">
        <v>133</v>
      </c>
      <c r="Q34" s="64">
        <v>1.638387433E9</v>
      </c>
      <c r="R34" s="54"/>
      <c r="S34" s="54"/>
      <c r="T34" s="54"/>
      <c r="U34" s="54"/>
      <c r="V34" s="54"/>
    </row>
    <row r="35" ht="28.5" customHeight="1">
      <c r="A35" s="47">
        <v>46304.0</v>
      </c>
      <c r="B35" s="51" t="s">
        <v>134</v>
      </c>
      <c r="C35" s="50" t="s">
        <v>135</v>
      </c>
      <c r="D35" s="50"/>
      <c r="E35" s="51"/>
      <c r="F35" s="51"/>
      <c r="G35" s="51"/>
      <c r="H35" s="51"/>
      <c r="I35" s="51"/>
      <c r="J35" s="51"/>
      <c r="K35" s="51">
        <v>27.0</v>
      </c>
      <c r="L35" s="49" t="s">
        <v>85</v>
      </c>
      <c r="M35" s="48" t="s">
        <v>86</v>
      </c>
      <c r="N35" s="52">
        <v>0.4166666666666667</v>
      </c>
      <c r="O35" s="65"/>
      <c r="P35" s="63" t="s">
        <v>133</v>
      </c>
      <c r="Q35" s="64">
        <v>1.638387433E9</v>
      </c>
      <c r="R35" s="54"/>
      <c r="S35" s="54"/>
      <c r="T35" s="54"/>
      <c r="U35" s="54"/>
      <c r="V35" s="54"/>
    </row>
    <row r="36" ht="23.25" customHeight="1">
      <c r="A36" s="47">
        <v>46243.0</v>
      </c>
      <c r="B36" s="51" t="s">
        <v>136</v>
      </c>
      <c r="C36" s="50" t="s">
        <v>137</v>
      </c>
      <c r="D36" s="50"/>
      <c r="E36" s="51"/>
      <c r="F36" s="51"/>
      <c r="G36" s="51">
        <v>27.0</v>
      </c>
      <c r="H36" s="51"/>
      <c r="I36" s="51"/>
      <c r="J36" s="51"/>
      <c r="K36" s="51">
        <v>27.0</v>
      </c>
      <c r="L36" s="50" t="s">
        <v>138</v>
      </c>
      <c r="M36" s="65" t="s">
        <v>86</v>
      </c>
      <c r="N36" s="66">
        <v>0.4166666666666667</v>
      </c>
      <c r="O36" s="65"/>
      <c r="P36" s="50" t="s">
        <v>133</v>
      </c>
      <c r="Q36" s="64">
        <v>1.638387433E9</v>
      </c>
      <c r="R36" s="54"/>
      <c r="S36" s="54"/>
      <c r="T36" s="54"/>
      <c r="U36" s="54"/>
      <c r="V36" s="54"/>
    </row>
    <row r="37" ht="23.25" customHeight="1">
      <c r="A37" s="47">
        <v>46274.0</v>
      </c>
      <c r="B37" s="51" t="s">
        <v>139</v>
      </c>
      <c r="C37" s="50" t="s">
        <v>140</v>
      </c>
      <c r="D37" s="50"/>
      <c r="E37" s="51"/>
      <c r="F37" s="51"/>
      <c r="G37" s="51"/>
      <c r="H37" s="51"/>
      <c r="I37" s="51">
        <v>17.0</v>
      </c>
      <c r="J37" s="51"/>
      <c r="K37" s="51"/>
      <c r="L37" s="67" t="s">
        <v>85</v>
      </c>
      <c r="M37" s="65" t="s">
        <v>86</v>
      </c>
      <c r="N37" s="66">
        <v>0.4166666666666667</v>
      </c>
      <c r="O37" s="65"/>
      <c r="P37" s="50" t="s">
        <v>141</v>
      </c>
      <c r="Q37" s="64">
        <v>1.705482138E9</v>
      </c>
      <c r="R37" s="54"/>
      <c r="S37" s="54"/>
      <c r="T37" s="54"/>
      <c r="U37" s="54"/>
      <c r="V37" s="54"/>
    </row>
    <row r="38" ht="23.25" customHeight="1">
      <c r="A38" s="47">
        <v>46212.0</v>
      </c>
      <c r="B38" s="51" t="s">
        <v>142</v>
      </c>
      <c r="C38" s="50" t="s">
        <v>143</v>
      </c>
      <c r="D38" s="51"/>
      <c r="E38" s="51"/>
      <c r="F38" s="19">
        <v>17.0</v>
      </c>
      <c r="G38" s="19"/>
      <c r="H38" s="51"/>
      <c r="I38" s="51"/>
      <c r="J38" s="14"/>
      <c r="K38" s="68"/>
      <c r="L38" s="69" t="s">
        <v>121</v>
      </c>
      <c r="M38" s="17" t="s">
        <v>86</v>
      </c>
      <c r="N38" s="18">
        <v>0.4166666666666667</v>
      </c>
      <c r="O38" s="18"/>
      <c r="P38" s="16" t="s">
        <v>144</v>
      </c>
      <c r="Q38" s="50">
        <v>1.796101568E9</v>
      </c>
      <c r="R38" s="51"/>
      <c r="S38" s="54"/>
      <c r="T38" s="54"/>
      <c r="U38" s="54"/>
      <c r="V38" s="54"/>
    </row>
    <row r="39" ht="23.25" customHeight="1">
      <c r="A39" s="47">
        <v>46212.0</v>
      </c>
      <c r="B39" s="51" t="s">
        <v>142</v>
      </c>
      <c r="C39" s="50" t="s">
        <v>143</v>
      </c>
      <c r="D39" s="51"/>
      <c r="E39" s="51"/>
      <c r="F39" s="19">
        <v>17.0</v>
      </c>
      <c r="G39" s="19"/>
      <c r="H39" s="51"/>
      <c r="I39" s="51"/>
      <c r="J39" s="14"/>
      <c r="K39" s="68"/>
      <c r="L39" s="69" t="s">
        <v>145</v>
      </c>
      <c r="M39" s="17" t="s">
        <v>86</v>
      </c>
      <c r="N39" s="18">
        <v>0.4166666666666667</v>
      </c>
      <c r="O39" s="18"/>
      <c r="P39" s="16" t="s">
        <v>144</v>
      </c>
      <c r="Q39" s="50">
        <v>1.796101568E9</v>
      </c>
      <c r="R39" s="51"/>
      <c r="S39" s="54"/>
      <c r="T39" s="54"/>
      <c r="U39" s="54"/>
      <c r="V39" s="54"/>
    </row>
    <row r="40" ht="23.25" customHeight="1">
      <c r="A40" s="47">
        <v>46243.0</v>
      </c>
      <c r="B40" s="51" t="s">
        <v>142</v>
      </c>
      <c r="C40" s="50" t="s">
        <v>143</v>
      </c>
      <c r="D40" s="51"/>
      <c r="E40" s="51"/>
      <c r="F40" s="19">
        <v>17.0</v>
      </c>
      <c r="G40" s="19"/>
      <c r="H40" s="14"/>
      <c r="I40" s="14"/>
      <c r="J40" s="14"/>
      <c r="K40" s="68"/>
      <c r="L40" s="69" t="s">
        <v>92</v>
      </c>
      <c r="M40" s="17" t="s">
        <v>86</v>
      </c>
      <c r="N40" s="18">
        <v>0.4166666666666667</v>
      </c>
      <c r="O40" s="18"/>
      <c r="P40" s="16" t="s">
        <v>144</v>
      </c>
      <c r="Q40" s="50">
        <v>1.796101568E9</v>
      </c>
      <c r="R40" s="51"/>
      <c r="S40" s="54"/>
      <c r="T40" s="54"/>
      <c r="U40" s="54"/>
      <c r="V40" s="54"/>
    </row>
    <row r="41" ht="23.25" customHeight="1">
      <c r="A41" s="47">
        <v>46243.0</v>
      </c>
      <c r="B41" s="51" t="s">
        <v>142</v>
      </c>
      <c r="C41" s="50" t="s">
        <v>143</v>
      </c>
      <c r="D41" s="51"/>
      <c r="E41" s="51"/>
      <c r="F41" s="19">
        <v>17.0</v>
      </c>
      <c r="G41" s="19"/>
      <c r="H41" s="14"/>
      <c r="I41" s="14"/>
      <c r="J41" s="14"/>
      <c r="K41" s="68"/>
      <c r="L41" s="69" t="s">
        <v>101</v>
      </c>
      <c r="M41" s="17" t="s">
        <v>86</v>
      </c>
      <c r="N41" s="18">
        <v>0.4166666666666667</v>
      </c>
      <c r="O41" s="18"/>
      <c r="P41" s="16" t="s">
        <v>144</v>
      </c>
      <c r="Q41" s="50">
        <v>1.796101568E9</v>
      </c>
      <c r="R41" s="51"/>
      <c r="S41" s="54"/>
      <c r="T41" s="54"/>
      <c r="U41" s="54"/>
      <c r="V41" s="54"/>
    </row>
    <row r="42" ht="23.25" customHeight="1">
      <c r="A42" s="47">
        <v>46274.0</v>
      </c>
      <c r="B42" s="51" t="s">
        <v>142</v>
      </c>
      <c r="C42" s="50" t="s">
        <v>143</v>
      </c>
      <c r="D42" s="51"/>
      <c r="E42" s="51"/>
      <c r="F42" s="19">
        <v>17.0</v>
      </c>
      <c r="G42" s="19"/>
      <c r="H42" s="14"/>
      <c r="I42" s="14"/>
      <c r="J42" s="14"/>
      <c r="K42" s="68"/>
      <c r="L42" s="69" t="s">
        <v>85</v>
      </c>
      <c r="M42" s="17" t="s">
        <v>86</v>
      </c>
      <c r="N42" s="18">
        <v>0.4166666666666667</v>
      </c>
      <c r="O42" s="18"/>
      <c r="P42" s="16" t="s">
        <v>144</v>
      </c>
      <c r="Q42" s="50">
        <v>1.796101568E9</v>
      </c>
      <c r="R42" s="51"/>
      <c r="S42" s="54"/>
      <c r="T42" s="54"/>
      <c r="U42" s="54"/>
      <c r="V42" s="54"/>
    </row>
    <row r="43" ht="23.25" customHeight="1">
      <c r="A43" s="47">
        <v>46274.0</v>
      </c>
      <c r="B43" s="51" t="s">
        <v>142</v>
      </c>
      <c r="C43" s="50" t="s">
        <v>143</v>
      </c>
      <c r="D43" s="51"/>
      <c r="E43" s="51"/>
      <c r="F43" s="19">
        <v>17.0</v>
      </c>
      <c r="G43" s="19"/>
      <c r="H43" s="14"/>
      <c r="I43" s="14"/>
      <c r="J43" s="14"/>
      <c r="K43" s="68"/>
      <c r="L43" s="69" t="s">
        <v>109</v>
      </c>
      <c r="M43" s="17" t="s">
        <v>86</v>
      </c>
      <c r="N43" s="18">
        <v>0.4166666666666667</v>
      </c>
      <c r="O43" s="18"/>
      <c r="P43" s="16" t="s">
        <v>144</v>
      </c>
      <c r="Q43" s="50">
        <v>1.796101568E9</v>
      </c>
      <c r="R43" s="51"/>
      <c r="S43" s="54"/>
      <c r="T43" s="54"/>
      <c r="U43" s="54"/>
      <c r="V43" s="54"/>
    </row>
    <row r="44" ht="23.25" customHeight="1">
      <c r="A44" s="47">
        <v>46304.0</v>
      </c>
      <c r="B44" s="51" t="s">
        <v>142</v>
      </c>
      <c r="C44" s="50" t="s">
        <v>143</v>
      </c>
      <c r="D44" s="51"/>
      <c r="E44" s="51"/>
      <c r="F44" s="19">
        <v>17.0</v>
      </c>
      <c r="G44" s="19"/>
      <c r="H44" s="14"/>
      <c r="I44" s="14"/>
      <c r="J44" s="14"/>
      <c r="K44" s="68"/>
      <c r="L44" s="69" t="s">
        <v>110</v>
      </c>
      <c r="M44" s="17" t="s">
        <v>86</v>
      </c>
      <c r="N44" s="18">
        <v>0.4166666666666667</v>
      </c>
      <c r="O44" s="18"/>
      <c r="P44" s="16" t="s">
        <v>144</v>
      </c>
      <c r="Q44" s="50">
        <v>1.796101568E9</v>
      </c>
      <c r="R44" s="51"/>
      <c r="S44" s="54"/>
      <c r="T44" s="54"/>
      <c r="U44" s="54"/>
      <c r="V44" s="54"/>
    </row>
    <row r="45" ht="23.25" customHeight="1">
      <c r="A45" s="47">
        <v>46304.0</v>
      </c>
      <c r="B45" s="51" t="s">
        <v>142</v>
      </c>
      <c r="C45" s="50" t="s">
        <v>143</v>
      </c>
      <c r="D45" s="51"/>
      <c r="E45" s="51"/>
      <c r="F45" s="19">
        <v>17.0</v>
      </c>
      <c r="G45" s="19"/>
      <c r="H45" s="14"/>
      <c r="I45" s="14"/>
      <c r="J45" s="14"/>
      <c r="K45" s="68"/>
      <c r="L45" s="69" t="s">
        <v>124</v>
      </c>
      <c r="M45" s="17" t="s">
        <v>86</v>
      </c>
      <c r="N45" s="18">
        <v>0.4166666666666667</v>
      </c>
      <c r="O45" s="18"/>
      <c r="P45" s="16" t="s">
        <v>144</v>
      </c>
      <c r="Q45" s="50">
        <v>1.796101568E9</v>
      </c>
      <c r="R45" s="51"/>
      <c r="S45" s="54"/>
      <c r="T45" s="54"/>
      <c r="U45" s="54"/>
      <c r="V45" s="54"/>
    </row>
    <row r="46" ht="23.25" customHeight="1">
      <c r="A46" s="47">
        <v>46365.0</v>
      </c>
      <c r="B46" s="51" t="s">
        <v>142</v>
      </c>
      <c r="C46" s="50" t="s">
        <v>143</v>
      </c>
      <c r="D46" s="51"/>
      <c r="E46" s="51"/>
      <c r="F46" s="19">
        <v>17.0</v>
      </c>
      <c r="G46" s="19"/>
      <c r="H46" s="14"/>
      <c r="I46" s="14"/>
      <c r="J46" s="14"/>
      <c r="K46" s="68"/>
      <c r="L46" s="69" t="s">
        <v>146</v>
      </c>
      <c r="M46" s="17" t="s">
        <v>86</v>
      </c>
      <c r="N46" s="18">
        <v>0.4166666666666667</v>
      </c>
      <c r="O46" s="18"/>
      <c r="P46" s="16" t="s">
        <v>144</v>
      </c>
      <c r="Q46" s="50">
        <v>1.796101568E9</v>
      </c>
      <c r="R46" s="51"/>
      <c r="S46" s="54"/>
      <c r="T46" s="54"/>
      <c r="U46" s="54"/>
      <c r="V46" s="54"/>
    </row>
    <row r="47" ht="14.25" customHeight="1">
      <c r="A47" s="10"/>
      <c r="B47" s="70" t="s">
        <v>147</v>
      </c>
      <c r="C47" s="16" t="s">
        <v>148</v>
      </c>
      <c r="D47" s="13"/>
      <c r="E47" s="14"/>
      <c r="F47" s="14"/>
      <c r="G47" s="15"/>
      <c r="H47" s="14"/>
      <c r="I47" s="14"/>
      <c r="J47" s="14"/>
      <c r="K47" s="14"/>
      <c r="L47" s="16"/>
      <c r="M47" s="17"/>
      <c r="N47" s="18"/>
      <c r="O47" s="18"/>
      <c r="P47" s="16"/>
      <c r="Q47" s="14"/>
      <c r="R47" s="25"/>
      <c r="S47" s="25"/>
      <c r="T47" s="25"/>
      <c r="U47" s="25"/>
      <c r="V47" s="25"/>
    </row>
    <row r="48" ht="14.25" customHeight="1">
      <c r="A48" s="10"/>
      <c r="B48" s="71"/>
      <c r="C48" s="16" t="s">
        <v>66</v>
      </c>
      <c r="D48" s="14" t="str">
        <f t="shared" ref="D48:K48" si="1">SUM(D5:D47)</f>
        <v>312</v>
      </c>
      <c r="E48" s="14" t="str">
        <f t="shared" si="1"/>
        <v>0</v>
      </c>
      <c r="F48" s="14" t="str">
        <f t="shared" si="1"/>
        <v>175</v>
      </c>
      <c r="G48" s="14" t="str">
        <f t="shared" si="1"/>
        <v>651</v>
      </c>
      <c r="H48" s="14" t="str">
        <f t="shared" si="1"/>
        <v>0</v>
      </c>
      <c r="I48" s="14" t="str">
        <f t="shared" si="1"/>
        <v>509</v>
      </c>
      <c r="J48" s="14" t="str">
        <f t="shared" si="1"/>
        <v>0</v>
      </c>
      <c r="K48" s="14" t="str">
        <f t="shared" si="1"/>
        <v>54</v>
      </c>
      <c r="L48" s="20"/>
      <c r="M48" s="20"/>
      <c r="N48" s="20"/>
      <c r="O48" s="20"/>
      <c r="P48" s="20"/>
      <c r="Q48" s="21"/>
      <c r="R48" s="25"/>
      <c r="S48" s="25"/>
      <c r="T48" s="25"/>
      <c r="U48" s="25"/>
      <c r="V48" s="25"/>
    </row>
    <row r="49" ht="9.0" customHeight="1">
      <c r="A49" s="22"/>
      <c r="B49" s="72"/>
      <c r="C49" s="73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5"/>
      <c r="S49" s="25"/>
      <c r="T49" s="25"/>
      <c r="U49" s="25"/>
      <c r="V49" s="25"/>
    </row>
    <row r="50" ht="14.25" customHeight="1">
      <c r="A50" s="74"/>
      <c r="B50" s="75"/>
      <c r="C50" s="76" t="s">
        <v>67</v>
      </c>
      <c r="D50" s="77" t="s">
        <v>68</v>
      </c>
      <c r="E50" s="78" t="s">
        <v>69</v>
      </c>
      <c r="F50" s="78"/>
      <c r="G50" s="79" t="s">
        <v>70</v>
      </c>
      <c r="H50" s="79"/>
      <c r="I50" s="78" t="s">
        <v>71</v>
      </c>
      <c r="J50" s="74"/>
      <c r="K50" s="74"/>
      <c r="L50" s="80"/>
      <c r="M50" s="74"/>
      <c r="N50" s="74"/>
      <c r="O50" s="74"/>
      <c r="P50" s="74"/>
      <c r="Q50" s="81"/>
      <c r="R50" s="74"/>
      <c r="S50" s="74"/>
      <c r="T50" s="74"/>
      <c r="U50" s="74"/>
      <c r="V50" s="74"/>
    </row>
    <row r="51" ht="14.25" customHeight="1">
      <c r="A51" s="74"/>
      <c r="B51" s="75"/>
      <c r="C51" s="76"/>
      <c r="D51" s="77"/>
      <c r="E51" s="78" t="str">
        <f>F48</f>
        <v>175</v>
      </c>
      <c r="F51" s="78"/>
      <c r="G51" s="79">
        <v>160.0</v>
      </c>
      <c r="H51" s="79"/>
      <c r="I51" s="82" t="str">
        <f t="shared" ref="I51:I57" si="2">E51*G51</f>
        <v>28000.00</v>
      </c>
      <c r="J51" s="74"/>
      <c r="K51" s="74"/>
      <c r="L51" s="80"/>
      <c r="M51" s="74"/>
      <c r="N51" s="74"/>
      <c r="O51" s="74"/>
      <c r="P51" s="74"/>
      <c r="Q51" s="81"/>
      <c r="R51" s="74"/>
      <c r="S51" s="74"/>
      <c r="T51" s="74"/>
      <c r="U51" s="74"/>
      <c r="V51" s="74"/>
    </row>
    <row r="52" ht="14.25" customHeight="1">
      <c r="A52" s="74"/>
      <c r="B52" s="75"/>
      <c r="C52" s="76">
        <v>1.0</v>
      </c>
      <c r="D52" s="77"/>
      <c r="E52" s="78" t="str">
        <f>D48</f>
        <v>312</v>
      </c>
      <c r="F52" s="78"/>
      <c r="G52" s="79">
        <v>20.0</v>
      </c>
      <c r="H52" s="79"/>
      <c r="I52" s="82" t="str">
        <f t="shared" si="2"/>
        <v>6240.00</v>
      </c>
      <c r="J52" s="74"/>
      <c r="K52" s="74"/>
      <c r="L52" s="80"/>
      <c r="M52" s="74"/>
      <c r="N52" s="74"/>
      <c r="O52" s="74"/>
      <c r="P52" s="74"/>
      <c r="Q52" s="81"/>
      <c r="R52" s="74"/>
      <c r="S52" s="74"/>
      <c r="T52" s="74"/>
      <c r="U52" s="74"/>
      <c r="V52" s="74"/>
    </row>
    <row r="53" ht="14.25" customHeight="1">
      <c r="A53" s="74"/>
      <c r="B53" s="75"/>
      <c r="C53" s="83">
        <v>2.0</v>
      </c>
      <c r="D53" s="84"/>
      <c r="E53" s="85" t="str">
        <f>G48</f>
        <v>651</v>
      </c>
      <c r="F53" s="84"/>
      <c r="G53" s="86">
        <v>50.0</v>
      </c>
      <c r="H53" s="86"/>
      <c r="I53" s="82" t="str">
        <f t="shared" si="2"/>
        <v>32550.00</v>
      </c>
      <c r="J53" s="74"/>
      <c r="K53" s="74"/>
      <c r="L53" s="87"/>
      <c r="M53" s="74"/>
      <c r="N53" s="74"/>
      <c r="O53" s="74"/>
      <c r="P53" s="74"/>
      <c r="Q53" s="81"/>
      <c r="R53" s="74"/>
      <c r="S53" s="74"/>
      <c r="T53" s="74"/>
      <c r="U53" s="74"/>
      <c r="V53" s="74"/>
    </row>
    <row r="54" ht="14.25" customHeight="1">
      <c r="A54" s="74"/>
      <c r="B54" s="75"/>
      <c r="C54" s="83">
        <v>3.0</v>
      </c>
      <c r="D54" s="84"/>
      <c r="E54" s="85" t="str">
        <f>H48</f>
        <v>0</v>
      </c>
      <c r="F54" s="84"/>
      <c r="G54" s="88">
        <v>85.0</v>
      </c>
      <c r="H54" s="86"/>
      <c r="I54" s="82" t="str">
        <f t="shared" si="2"/>
        <v>0.00</v>
      </c>
      <c r="J54" s="74"/>
      <c r="K54" s="74"/>
      <c r="L54" s="87"/>
      <c r="M54" s="74"/>
      <c r="N54" s="74"/>
      <c r="O54" s="74"/>
      <c r="P54" s="74"/>
      <c r="Q54" s="81"/>
      <c r="R54" s="74"/>
      <c r="S54" s="74"/>
      <c r="T54" s="74"/>
      <c r="U54" s="74"/>
      <c r="V54" s="74"/>
    </row>
    <row r="55" ht="14.25" customHeight="1">
      <c r="A55" s="74"/>
      <c r="B55" s="75"/>
      <c r="C55" s="83">
        <v>4.0</v>
      </c>
      <c r="D55" s="84"/>
      <c r="E55" s="85" t="str">
        <f>J48</f>
        <v>0</v>
      </c>
      <c r="F55" s="84"/>
      <c r="G55" s="88">
        <v>375.0</v>
      </c>
      <c r="H55" s="86"/>
      <c r="I55" s="82" t="str">
        <f t="shared" si="2"/>
        <v>0.00</v>
      </c>
      <c r="J55" s="74"/>
      <c r="K55" s="74"/>
      <c r="L55" s="87"/>
      <c r="M55" s="74"/>
      <c r="N55" s="74"/>
      <c r="O55" s="74"/>
      <c r="P55" s="74"/>
      <c r="Q55" s="81"/>
      <c r="R55" s="74"/>
      <c r="S55" s="74"/>
      <c r="T55" s="74"/>
      <c r="U55" s="74"/>
      <c r="V55" s="74"/>
    </row>
    <row r="56" ht="14.25" customHeight="1">
      <c r="A56" s="74"/>
      <c r="B56" s="75"/>
      <c r="C56" s="83">
        <v>5.0</v>
      </c>
      <c r="D56" s="84"/>
      <c r="E56" s="85" t="str">
        <f>I48</f>
        <v>509</v>
      </c>
      <c r="F56" s="84"/>
      <c r="G56" s="88">
        <v>100.0</v>
      </c>
      <c r="H56" s="86"/>
      <c r="I56" s="82" t="str">
        <f t="shared" si="2"/>
        <v>50900.00</v>
      </c>
      <c r="J56" s="74"/>
      <c r="K56" s="74"/>
      <c r="L56" s="87"/>
      <c r="M56" s="74"/>
      <c r="N56" s="74"/>
      <c r="O56" s="74"/>
      <c r="P56" s="74"/>
      <c r="Q56" s="81"/>
      <c r="R56" s="74"/>
      <c r="S56" s="74"/>
      <c r="T56" s="74"/>
      <c r="U56" s="74"/>
      <c r="V56" s="74"/>
    </row>
    <row r="57" ht="14.25" customHeight="1">
      <c r="A57" s="74"/>
      <c r="B57" s="75"/>
      <c r="C57" s="83">
        <v>6.0</v>
      </c>
      <c r="D57" s="84"/>
      <c r="E57" s="85" t="str">
        <f>K48</f>
        <v>54</v>
      </c>
      <c r="F57" s="84"/>
      <c r="G57" s="88">
        <v>430.0</v>
      </c>
      <c r="H57" s="86"/>
      <c r="I57" s="82" t="str">
        <f t="shared" si="2"/>
        <v>23220.00</v>
      </c>
      <c r="J57" s="74"/>
      <c r="K57" s="74"/>
      <c r="L57" s="87"/>
      <c r="M57" s="74"/>
      <c r="N57" s="74"/>
      <c r="O57" s="74"/>
      <c r="P57" s="74"/>
      <c r="Q57" s="81"/>
      <c r="R57" s="74"/>
      <c r="S57" s="74"/>
      <c r="T57" s="74"/>
      <c r="U57" s="74"/>
      <c r="V57" s="74"/>
    </row>
    <row r="58" ht="14.25" customHeight="1">
      <c r="A58" s="74"/>
      <c r="B58" s="75"/>
      <c r="C58" s="83"/>
      <c r="D58" s="85"/>
      <c r="E58" s="85" t="str">
        <f>SUM(E53:E57)</f>
        <v>1214</v>
      </c>
      <c r="F58" s="85"/>
      <c r="G58" s="85"/>
      <c r="H58" s="85"/>
      <c r="I58" s="89" t="str">
        <f>SUM(I51:I57)</f>
        <v>140910.00</v>
      </c>
      <c r="J58" s="74"/>
      <c r="K58" s="74"/>
      <c r="L58" s="90"/>
      <c r="M58" s="74"/>
      <c r="N58" s="74"/>
      <c r="O58" s="74"/>
      <c r="P58" s="74"/>
      <c r="Q58" s="81"/>
      <c r="R58" s="74"/>
      <c r="S58" s="74"/>
      <c r="T58" s="74"/>
      <c r="U58" s="74"/>
      <c r="V58" s="74"/>
    </row>
    <row r="59" ht="14.25" customHeight="1">
      <c r="A59" s="91"/>
      <c r="B59" s="92"/>
      <c r="C59" s="93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</row>
    <row r="60" ht="14.25" customHeight="1">
      <c r="A60" s="94"/>
      <c r="B60" s="95"/>
      <c r="C60" s="96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1"/>
      <c r="S60" s="91"/>
      <c r="T60" s="91"/>
      <c r="U60" s="91"/>
      <c r="V60" s="91"/>
    </row>
    <row r="61" ht="14.25" customHeight="1">
      <c r="A61" s="25"/>
      <c r="B61" s="97"/>
      <c r="C61" s="98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ht="14.25" customHeight="1">
      <c r="A62" s="25"/>
      <c r="B62" s="97"/>
      <c r="C62" s="98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ht="14.25" customHeight="1">
      <c r="A63" s="25"/>
      <c r="B63" s="97"/>
      <c r="C63" s="98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ht="14.25" customHeight="1">
      <c r="A64" s="25"/>
      <c r="B64" s="97"/>
      <c r="C64" s="98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ht="14.25" customHeight="1">
      <c r="A65" s="25"/>
      <c r="B65" s="97"/>
      <c r="C65" s="98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ht="14.25" customHeight="1">
      <c r="A66" s="25"/>
      <c r="B66" s="97"/>
      <c r="C66" s="98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ht="14.25" customHeight="1">
      <c r="A67" s="25"/>
      <c r="B67" s="97"/>
      <c r="C67" s="98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ht="14.25" customHeight="1">
      <c r="A68" s="25"/>
      <c r="B68" s="97"/>
      <c r="C68" s="98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ht="14.25" customHeight="1">
      <c r="A69" s="25"/>
      <c r="B69" s="97"/>
      <c r="C69" s="98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ht="14.25" customHeight="1">
      <c r="A70" s="25"/>
      <c r="B70" s="97"/>
      <c r="C70" s="98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ht="14.25" customHeight="1">
      <c r="A71" s="25"/>
      <c r="B71" s="97"/>
      <c r="C71" s="98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14.25" customHeight="1">
      <c r="A72" s="25"/>
      <c r="B72" s="97"/>
      <c r="C72" s="98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4.25" customHeight="1">
      <c r="A73" s="25"/>
      <c r="B73" s="97"/>
      <c r="C73" s="98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ht="14.25" customHeight="1">
      <c r="A74" s="25"/>
      <c r="B74" s="97"/>
      <c r="C74" s="98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ht="14.25" customHeight="1">
      <c r="A75" s="25"/>
      <c r="B75" s="97"/>
      <c r="C75" s="98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ht="14.25" customHeight="1">
      <c r="A76" s="25"/>
      <c r="B76" s="97"/>
      <c r="C76" s="98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4.25" customHeight="1">
      <c r="A77" s="25"/>
      <c r="B77" s="97"/>
      <c r="C77" s="98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ht="14.25" customHeight="1">
      <c r="A78" s="25"/>
      <c r="B78" s="97"/>
      <c r="C78" s="98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ht="14.25" customHeight="1">
      <c r="A79" s="25"/>
      <c r="B79" s="97"/>
      <c r="C79" s="98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14.25" customHeight="1">
      <c r="A80" s="25"/>
      <c r="B80" s="97"/>
      <c r="C80" s="98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14.25" customHeight="1">
      <c r="A81" s="25"/>
      <c r="B81" s="97"/>
      <c r="C81" s="98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ht="14.25" customHeight="1">
      <c r="A82" s="25"/>
      <c r="B82" s="97"/>
      <c r="C82" s="98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ht="14.25" customHeight="1">
      <c r="A83" s="25"/>
      <c r="B83" s="97"/>
      <c r="C83" s="98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ht="14.25" customHeight="1">
      <c r="A84" s="25"/>
      <c r="B84" s="97"/>
      <c r="C84" s="98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ht="14.25" customHeight="1">
      <c r="A85" s="25"/>
      <c r="B85" s="97"/>
      <c r="C85" s="98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ht="14.25" customHeight="1">
      <c r="A86" s="25"/>
      <c r="B86" s="97"/>
      <c r="C86" s="98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4.25" customHeight="1">
      <c r="A87" s="25"/>
      <c r="B87" s="97"/>
      <c r="C87" s="98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14.25" customHeight="1">
      <c r="A88" s="25"/>
      <c r="B88" s="97"/>
      <c r="C88" s="98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14.25" customHeight="1">
      <c r="A89" s="25"/>
      <c r="B89" s="97"/>
      <c r="C89" s="98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25"/>
      <c r="B90" s="97"/>
      <c r="C90" s="98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25"/>
      <c r="B91" s="97"/>
      <c r="C91" s="98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25"/>
      <c r="B92" s="97"/>
      <c r="C92" s="98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ht="14.25" customHeight="1">
      <c r="A93" s="25"/>
      <c r="B93" s="97"/>
      <c r="C93" s="98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ht="14.25" customHeight="1">
      <c r="A94" s="25"/>
      <c r="B94" s="97"/>
      <c r="C94" s="98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ht="14.25" customHeight="1">
      <c r="A95" s="25"/>
      <c r="B95" s="97"/>
      <c r="C95" s="98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ht="14.25" customHeight="1">
      <c r="A96" s="25"/>
      <c r="B96" s="97"/>
      <c r="C96" s="98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ht="14.25" customHeight="1">
      <c r="A97" s="25"/>
      <c r="B97" s="97"/>
      <c r="C97" s="98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ht="14.25" customHeight="1">
      <c r="A98" s="25"/>
      <c r="B98" s="97"/>
      <c r="C98" s="98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ht="14.25" customHeight="1">
      <c r="A99" s="25"/>
      <c r="B99" s="97"/>
      <c r="C99" s="98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ht="14.25" customHeight="1">
      <c r="A100" s="25"/>
      <c r="B100" s="97"/>
      <c r="C100" s="98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</sheetData>
  <mergeCells count="4">
    <mergeCell ref="A1:Q1"/>
    <mergeCell ref="A2:Q2"/>
    <mergeCell ref="A3:Q3"/>
    <mergeCell ref="Q20:Q31"/>
  </mergeCells>
  <printOptions/>
  <pageMargins bottom="0.8" footer="0.0" header="0.0" left="0.2" right="0.2" top="0.75"/>
  <pageSetup fitToHeight="0" paperSize="9" orientation="landscape"/>
  <headerFooter>
    <oddFooter>&amp;LPrepared by: Satish Chandra Roy Program officer&amp;CReview by: AP Finance Officer &amp;RApproved by:  AP Manager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86"/>
    <col customWidth="1" min="5" max="11" width="8.71"/>
  </cols>
  <sheetData>
    <row r="1" ht="14.25" customHeight="1"/>
    <row r="2" ht="14.25" customHeight="1"/>
    <row r="3" ht="14.25" customHeight="1"/>
    <row r="4" ht="14.25" customHeight="1">
      <c r="A4" s="16" t="s">
        <v>87</v>
      </c>
      <c r="B4" s="99" t="s">
        <v>88</v>
      </c>
    </row>
    <row r="5" ht="14.25" customHeight="1">
      <c r="A5" s="16" t="s">
        <v>90</v>
      </c>
      <c r="B5" s="99" t="s">
        <v>91</v>
      </c>
    </row>
    <row r="6" ht="14.25" customHeight="1">
      <c r="A6" s="16" t="s">
        <v>93</v>
      </c>
      <c r="B6" s="99" t="s">
        <v>94</v>
      </c>
    </row>
    <row r="7" ht="14.25" customHeight="1">
      <c r="A7" s="16" t="s">
        <v>96</v>
      </c>
      <c r="B7" s="99" t="s">
        <v>97</v>
      </c>
    </row>
    <row r="8" ht="14.25" customHeight="1">
      <c r="A8" s="16" t="s">
        <v>99</v>
      </c>
      <c r="B8" s="99" t="s">
        <v>100</v>
      </c>
    </row>
    <row r="9" ht="14.25" customHeight="1">
      <c r="A9" s="16" t="s">
        <v>102</v>
      </c>
      <c r="B9" s="99" t="s">
        <v>103</v>
      </c>
    </row>
    <row r="10" ht="14.25" customHeight="1">
      <c r="A10" s="16" t="s">
        <v>87</v>
      </c>
      <c r="B10" s="99" t="s">
        <v>88</v>
      </c>
    </row>
    <row r="11" ht="14.25" customHeight="1">
      <c r="A11" s="16" t="s">
        <v>90</v>
      </c>
      <c r="B11" s="99" t="s">
        <v>91</v>
      </c>
    </row>
    <row r="12" ht="14.25" customHeight="1">
      <c r="A12" s="16" t="s">
        <v>93</v>
      </c>
      <c r="B12" s="99" t="s">
        <v>94</v>
      </c>
    </row>
    <row r="13" ht="14.25" customHeight="1">
      <c r="A13" s="16" t="s">
        <v>96</v>
      </c>
      <c r="B13" s="99" t="s">
        <v>97</v>
      </c>
    </row>
    <row r="14" ht="14.25" customHeight="1">
      <c r="A14" s="16" t="s">
        <v>99</v>
      </c>
      <c r="B14" s="99" t="s">
        <v>100</v>
      </c>
    </row>
    <row r="15" ht="14.25" customHeight="1">
      <c r="A15" s="16" t="s">
        <v>102</v>
      </c>
      <c r="B15" s="99" t="s">
        <v>103</v>
      </c>
    </row>
    <row r="16" ht="14.25" customHeight="1">
      <c r="A16" s="16" t="s">
        <v>87</v>
      </c>
      <c r="B16" s="99" t="s">
        <v>88</v>
      </c>
    </row>
    <row r="17" ht="14.25" customHeight="1">
      <c r="A17" s="16" t="s">
        <v>90</v>
      </c>
      <c r="B17" s="99" t="s">
        <v>91</v>
      </c>
    </row>
    <row r="18" ht="14.25" customHeight="1">
      <c r="A18" s="16" t="s">
        <v>93</v>
      </c>
      <c r="B18" s="99" t="s">
        <v>94</v>
      </c>
    </row>
    <row r="19" ht="14.25" customHeight="1">
      <c r="A19" s="16" t="s">
        <v>96</v>
      </c>
      <c r="B19" s="99" t="s">
        <v>97</v>
      </c>
    </row>
    <row r="20" ht="14.25" customHeight="1">
      <c r="A20" s="16" t="s">
        <v>99</v>
      </c>
      <c r="B20" s="99" t="s">
        <v>100</v>
      </c>
    </row>
    <row r="21" ht="14.25" customHeight="1">
      <c r="A21" s="16" t="s">
        <v>102</v>
      </c>
      <c r="B21" s="99" t="s">
        <v>103</v>
      </c>
    </row>
    <row r="22" ht="14.25" customHeight="1">
      <c r="A22" s="16" t="s">
        <v>149</v>
      </c>
      <c r="B22" s="14">
        <v>1.705482138E9</v>
      </c>
    </row>
    <row r="23" ht="14.25" customHeight="1">
      <c r="A23" s="16" t="s">
        <v>150</v>
      </c>
      <c r="B23" s="14">
        <v>1.774736474E9</v>
      </c>
    </row>
    <row r="24" ht="14.25" customHeight="1">
      <c r="A24" s="16" t="s">
        <v>144</v>
      </c>
      <c r="B24">
        <v>1.577316905E9</v>
      </c>
    </row>
    <row r="25" ht="14.25" customHeight="1">
      <c r="A25" s="16" t="s">
        <v>151</v>
      </c>
      <c r="B25" s="100" t="s">
        <v>152</v>
      </c>
    </row>
    <row r="26" ht="14.25" customHeight="1">
      <c r="A26" s="16" t="s">
        <v>153</v>
      </c>
      <c r="B26" s="100" t="s">
        <v>154</v>
      </c>
    </row>
    <row r="27" ht="14.25" customHeight="1">
      <c r="A27" s="16" t="s">
        <v>155</v>
      </c>
      <c r="B27" s="100" t="s">
        <v>156</v>
      </c>
    </row>
    <row r="28" ht="14.25" customHeight="1">
      <c r="A28" s="101" t="s">
        <v>157</v>
      </c>
      <c r="B28">
        <v>1.638387433E9</v>
      </c>
    </row>
    <row r="29" ht="14.25" customHeight="1">
      <c r="A29" s="101" t="s">
        <v>158</v>
      </c>
      <c r="B29">
        <v>1.751413015E9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baseType="lpstr" size="6">
      <vt:lpstr>Jan ২য় (2)</vt:lpstr>
      <vt:lpstr>Sept_Muni</vt:lpstr>
      <vt:lpstr>Sheet2</vt:lpstr>
      <vt:lpstr>Sept_Muni!Print_Area</vt:lpstr>
      <vt:lpstr>'Jan ২য় (2)'!Print_Titles</vt:lpstr>
      <vt:lpstr>Sept_Muni!Print_Titles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2016-06-11T05:59:51Z</dcterms:created>
  <dc:creator>ismail - [2010]</dc:creator>
  <cp:lastModifiedBy>Satish C. Roy</cp:lastModifiedBy>
  <cp:lastPrinted>2026-07-13T08:57:40Z</cp:lastPrinted>
  <dcterms:modified xsi:type="dcterms:W3CDTF">2026-09-06T08:44:42Z</dcterms:modified>
</cp:coreProperties>
</file>